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ata Analysis\EraaSoft\Material\Excel\"/>
    </mc:Choice>
  </mc:AlternateContent>
  <xr:revisionPtr revIDLastSave="0" documentId="13_ncr:1_{217F0D00-76CE-48B7-8A6F-3F048DA111D5}" xr6:coauthVersionLast="47" xr6:coauthVersionMax="47" xr10:uidLastSave="{00000000-0000-0000-0000-000000000000}"/>
  <bookViews>
    <workbookView xWindow="-108" yWindow="-108" windowWidth="23256" windowHeight="12456" activeTab="4" xr2:uid="{00000000-000D-0000-FFFF-FFFF00000000}"/>
  </bookViews>
  <sheets>
    <sheet name="Task Instructions" sheetId="1" r:id="rId1"/>
    <sheet name="Charts" sheetId="6" r:id="rId2"/>
    <sheet name="Sales" sheetId="2" r:id="rId3"/>
    <sheet name="Products" sheetId="3" r:id="rId4"/>
    <sheet name="Dashboard" sheetId="5" r:id="rId5"/>
  </sheets>
  <definedNames>
    <definedName name="Slicer_Order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97Q6n+l/xhV+1Dn/v1sjgFyvHtiMuF9W0idZnWoaUvY="/>
    </ext>
  </extLst>
</workbook>
</file>

<file path=xl/calcChain.xml><?xml version="1.0" encoding="utf-8"?>
<calcChain xmlns="http://schemas.openxmlformats.org/spreadsheetml/2006/main">
  <c r="H2" i="2" l="1" a="1"/>
  <c r="H2" i="2" s="1"/>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3" i="2"/>
  <c r="K4" i="2"/>
  <c r="K5" i="2"/>
  <c r="K6" i="2"/>
  <c r="K7" i="2"/>
  <c r="K8" i="2"/>
  <c r="K9" i="2"/>
  <c r="K10" i="2"/>
  <c r="K11" i="2"/>
  <c r="K12" i="2"/>
  <c r="K13" i="2"/>
  <c r="K14" i="2"/>
  <c r="K15" i="2"/>
  <c r="K2" i="2"/>
  <c r="T2" i="2" a="1"/>
  <c r="T2" i="2" s="1"/>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115" i="2" a="1"/>
  <c r="H115" i="2" s="1"/>
  <c r="H116" i="2" a="1"/>
  <c r="H116" i="2" s="1"/>
  <c r="H117" i="2" a="1"/>
  <c r="H117" i="2" s="1"/>
  <c r="H118" i="2" a="1"/>
  <c r="H118" i="2" s="1"/>
  <c r="H119" i="2" a="1"/>
  <c r="H119" i="2" s="1"/>
  <c r="H120" i="2" a="1"/>
  <c r="H120" i="2" s="1"/>
  <c r="H121" i="2" a="1"/>
  <c r="H121" i="2" s="1"/>
  <c r="H122" i="2" a="1"/>
  <c r="H122" i="2" s="1"/>
  <c r="H123" i="2" a="1"/>
  <c r="H123" i="2" s="1"/>
  <c r="H124" i="2" a="1"/>
  <c r="H124" i="2" s="1"/>
  <c r="H125" i="2" a="1"/>
  <c r="H125" i="2" s="1"/>
  <c r="H126" i="2" a="1"/>
  <c r="H126" i="2" s="1"/>
  <c r="H127" i="2" a="1"/>
  <c r="H127" i="2" s="1"/>
  <c r="H128" i="2" a="1"/>
  <c r="H128" i="2" s="1"/>
  <c r="H129" i="2" a="1"/>
  <c r="H129" i="2" s="1"/>
  <c r="H130" i="2" a="1"/>
  <c r="H130" i="2" s="1"/>
  <c r="H131" i="2" a="1"/>
  <c r="H131" i="2" s="1"/>
  <c r="H132" i="2" a="1"/>
  <c r="H132" i="2" s="1"/>
  <c r="H133" i="2" a="1"/>
  <c r="H133" i="2" s="1"/>
  <c r="H134" i="2" a="1"/>
  <c r="H134" i="2" s="1"/>
  <c r="H135" i="2" a="1"/>
  <c r="H135" i="2" s="1"/>
  <c r="H136" i="2" a="1"/>
  <c r="H136" i="2" s="1"/>
  <c r="H137" i="2" a="1"/>
  <c r="H137" i="2" s="1"/>
  <c r="H138" i="2" a="1"/>
  <c r="H138" i="2" s="1"/>
  <c r="H139" i="2" a="1"/>
  <c r="H139" i="2" s="1"/>
  <c r="H140" i="2" a="1"/>
  <c r="H140" i="2" s="1"/>
  <c r="H141" i="2" a="1"/>
  <c r="H141" i="2" s="1"/>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s="1"/>
  <c r="H157" i="2" a="1"/>
  <c r="H157" i="2" s="1"/>
  <c r="H158" i="2" a="1"/>
  <c r="H158" i="2" s="1"/>
  <c r="H159" i="2" a="1"/>
  <c r="H159" i="2" s="1"/>
  <c r="H160" i="2" a="1"/>
  <c r="H160" i="2" s="1"/>
  <c r="H161" i="2" a="1"/>
  <c r="H161" i="2" s="1"/>
  <c r="H162" i="2" a="1"/>
  <c r="H162" i="2" s="1"/>
  <c r="H163" i="2" a="1"/>
  <c r="H163" i="2" s="1"/>
  <c r="H164" i="2" a="1"/>
  <c r="H164" i="2" s="1"/>
  <c r="H165" i="2" a="1"/>
  <c r="H165" i="2" s="1"/>
  <c r="H166" i="2" a="1"/>
  <c r="H166" i="2" s="1"/>
  <c r="H167" i="2" a="1"/>
  <c r="H167" i="2" s="1"/>
  <c r="H168" i="2" a="1"/>
  <c r="H168" i="2" s="1"/>
  <c r="H169" i="2" a="1"/>
  <c r="H169" i="2" s="1"/>
  <c r="H170" i="2" a="1"/>
  <c r="H170" i="2" s="1"/>
  <c r="H171" i="2" a="1"/>
  <c r="H171" i="2" s="1"/>
  <c r="H172" i="2" a="1"/>
  <c r="H172" i="2" s="1"/>
  <c r="H173" i="2" a="1"/>
  <c r="H173" i="2" s="1"/>
  <c r="H174" i="2" a="1"/>
  <c r="H174" i="2" s="1"/>
  <c r="H175" i="2" a="1"/>
  <c r="H175" i="2" s="1"/>
  <c r="H176" i="2" a="1"/>
  <c r="H176" i="2" s="1"/>
  <c r="H177" i="2" a="1"/>
  <c r="H177" i="2" s="1"/>
  <c r="H178" i="2" a="1"/>
  <c r="H178" i="2" s="1"/>
  <c r="H179" i="2" a="1"/>
  <c r="H179" i="2" s="1"/>
  <c r="H180" i="2" a="1"/>
  <c r="H180" i="2" s="1"/>
  <c r="H181" i="2" a="1"/>
  <c r="H181" i="2" s="1"/>
  <c r="H182" i="2" a="1"/>
  <c r="H182" i="2" s="1"/>
  <c r="H183" i="2" a="1"/>
  <c r="H183" i="2" s="1"/>
  <c r="H184" i="2" a="1"/>
  <c r="H184" i="2" s="1"/>
  <c r="H185" i="2" a="1"/>
  <c r="H185" i="2" s="1"/>
  <c r="H186" i="2" a="1"/>
  <c r="H186" i="2" s="1"/>
  <c r="H187" i="2" a="1"/>
  <c r="H187" i="2" s="1"/>
  <c r="H188" i="2" a="1"/>
  <c r="H188" i="2" s="1"/>
  <c r="H189" i="2" a="1"/>
  <c r="H189" i="2" s="1"/>
  <c r="H190" i="2" a="1"/>
  <c r="H190" i="2" s="1"/>
  <c r="H191" i="2" a="1"/>
  <c r="H191" i="2" s="1"/>
  <c r="H192" i="2" a="1"/>
  <c r="H192" i="2" s="1"/>
  <c r="H193" i="2" a="1"/>
  <c r="H193" i="2" s="1"/>
  <c r="H194" i="2" a="1"/>
  <c r="H194" i="2" s="1"/>
  <c r="H195" i="2" a="1"/>
  <c r="H195" i="2" s="1"/>
  <c r="H196" i="2" a="1"/>
  <c r="H196" i="2" s="1"/>
  <c r="H197" i="2" a="1"/>
  <c r="H197" i="2" s="1"/>
  <c r="H198" i="2" a="1"/>
  <c r="H198" i="2" s="1"/>
  <c r="H199" i="2" a="1"/>
  <c r="H199" i="2" s="1"/>
  <c r="H200" i="2" a="1"/>
  <c r="H200" i="2" s="1"/>
  <c r="H201" i="2" a="1"/>
  <c r="H201" i="2" s="1"/>
  <c r="H202" i="2" a="1"/>
  <c r="H202" i="2" s="1"/>
  <c r="H203" i="2" a="1"/>
  <c r="H203" i="2" s="1"/>
  <c r="H204" i="2" a="1"/>
  <c r="H204" i="2" s="1"/>
  <c r="H205" i="2" a="1"/>
  <c r="H205" i="2" s="1"/>
  <c r="H206" i="2" a="1"/>
  <c r="H206" i="2" s="1"/>
  <c r="H207" i="2" a="1"/>
  <c r="H207" i="2" s="1"/>
  <c r="H208" i="2" a="1"/>
  <c r="H208" i="2" s="1"/>
  <c r="H209" i="2" a="1"/>
  <c r="H209" i="2" s="1"/>
  <c r="H210" i="2" a="1"/>
  <c r="H210" i="2" s="1"/>
  <c r="H211" i="2" a="1"/>
  <c r="H211" i="2" s="1"/>
  <c r="H212" i="2" a="1"/>
  <c r="H212" i="2" s="1"/>
  <c r="H213" i="2" a="1"/>
  <c r="H213" i="2" s="1"/>
  <c r="H214" i="2" a="1"/>
  <c r="H214" i="2" s="1"/>
  <c r="H215" i="2" a="1"/>
  <c r="H215" i="2" s="1"/>
  <c r="H216" i="2" a="1"/>
  <c r="H216" i="2" s="1"/>
  <c r="H217" i="2" a="1"/>
  <c r="H217" i="2" s="1"/>
  <c r="H218" i="2" a="1"/>
  <c r="H218" i="2" s="1"/>
  <c r="H219" i="2" a="1"/>
  <c r="H219" i="2" s="1"/>
  <c r="H220" i="2" a="1"/>
  <c r="H220" i="2" s="1"/>
  <c r="H221" i="2" a="1"/>
  <c r="H221" i="2" s="1"/>
  <c r="H222" i="2" a="1"/>
  <c r="H222" i="2" s="1"/>
  <c r="H223" i="2" a="1"/>
  <c r="H223" i="2" s="1"/>
  <c r="H224" i="2" a="1"/>
  <c r="H224" i="2" s="1"/>
  <c r="H225" i="2" a="1"/>
  <c r="H225" i="2" s="1"/>
  <c r="H226" i="2" a="1"/>
  <c r="H226" i="2" s="1"/>
  <c r="H227" i="2" a="1"/>
  <c r="H227" i="2" s="1"/>
  <c r="H228" i="2" a="1"/>
  <c r="H228" i="2" s="1"/>
  <c r="H229" i="2" a="1"/>
  <c r="H229" i="2" s="1"/>
  <c r="H230" i="2" a="1"/>
  <c r="H230" i="2" s="1"/>
  <c r="H231" i="2" a="1"/>
  <c r="H231" i="2" s="1"/>
  <c r="H232" i="2" a="1"/>
  <c r="H232" i="2" s="1"/>
  <c r="H233" i="2" a="1"/>
  <c r="H233" i="2" s="1"/>
  <c r="H234" i="2" a="1"/>
  <c r="H234" i="2" s="1"/>
  <c r="H235" i="2" a="1"/>
  <c r="H235" i="2" s="1"/>
  <c r="H236" i="2" a="1"/>
  <c r="H236" i="2" s="1"/>
  <c r="H237" i="2" a="1"/>
  <c r="H237" i="2" s="1"/>
  <c r="H238" i="2" a="1"/>
  <c r="H238" i="2" s="1"/>
  <c r="H239" i="2" a="1"/>
  <c r="H239" i="2" s="1"/>
  <c r="H240" i="2" a="1"/>
  <c r="H240" i="2" s="1"/>
  <c r="H241" i="2" a="1"/>
  <c r="H241" i="2" s="1"/>
  <c r="H242" i="2" a="1"/>
  <c r="H242" i="2" s="1"/>
  <c r="H243" i="2" a="1"/>
  <c r="H243" i="2" s="1"/>
  <c r="H244" i="2" a="1"/>
  <c r="H244" i="2" s="1"/>
  <c r="H245" i="2" a="1"/>
  <c r="H245" i="2" s="1"/>
  <c r="H246" i="2" a="1"/>
  <c r="H246" i="2" s="1"/>
  <c r="H247" i="2" a="1"/>
  <c r="H247" i="2" s="1"/>
  <c r="H248" i="2" a="1"/>
  <c r="H248" i="2" s="1"/>
  <c r="H249" i="2" a="1"/>
  <c r="H249" i="2" s="1"/>
  <c r="H250" i="2" a="1"/>
  <c r="H250" i="2" s="1"/>
  <c r="H251" i="2" a="1"/>
  <c r="H251" i="2" s="1"/>
  <c r="H252" i="2" a="1"/>
  <c r="H252" i="2" s="1"/>
  <c r="H253" i="2" a="1"/>
  <c r="H253" i="2" s="1"/>
  <c r="H254" i="2" a="1"/>
  <c r="H254" i="2" s="1"/>
  <c r="H255" i="2" a="1"/>
  <c r="H255" i="2" s="1"/>
  <c r="H256" i="2" a="1"/>
  <c r="H256" i="2" s="1"/>
  <c r="H257" i="2" a="1"/>
  <c r="H257" i="2" s="1"/>
  <c r="H258" i="2" a="1"/>
  <c r="H258" i="2" s="1"/>
  <c r="H259" i="2" a="1"/>
  <c r="H259" i="2" s="1"/>
  <c r="H260" i="2" a="1"/>
  <c r="H260" i="2" s="1"/>
  <c r="H261" i="2" a="1"/>
  <c r="H261" i="2" s="1"/>
  <c r="H262" i="2" a="1"/>
  <c r="H262" i="2" s="1"/>
  <c r="H263" i="2" a="1"/>
  <c r="H263" i="2" s="1"/>
  <c r="H264" i="2" a="1"/>
  <c r="H264" i="2" s="1"/>
  <c r="H265" i="2" a="1"/>
  <c r="H265" i="2" s="1"/>
  <c r="H266" i="2" a="1"/>
  <c r="H266" i="2" s="1"/>
  <c r="H267" i="2" a="1"/>
  <c r="H267" i="2" s="1"/>
  <c r="H268" i="2" a="1"/>
  <c r="H268" i="2" s="1"/>
  <c r="H269" i="2" a="1"/>
  <c r="H269" i="2" s="1"/>
  <c r="H270" i="2" a="1"/>
  <c r="H270" i="2" s="1"/>
  <c r="H271" i="2" a="1"/>
  <c r="H271" i="2" s="1"/>
  <c r="H272" i="2" a="1"/>
  <c r="H272" i="2" s="1"/>
  <c r="H273" i="2" a="1"/>
  <c r="H273" i="2" s="1"/>
  <c r="H274" i="2" a="1"/>
  <c r="H274" i="2" s="1"/>
  <c r="H275" i="2" a="1"/>
  <c r="H275" i="2" s="1"/>
  <c r="H276" i="2" a="1"/>
  <c r="H276" i="2" s="1"/>
  <c r="H277" i="2" a="1"/>
  <c r="H277" i="2" s="1"/>
  <c r="H278" i="2" a="1"/>
  <c r="H278" i="2" s="1"/>
  <c r="H279" i="2" a="1"/>
  <c r="H279" i="2" s="1"/>
  <c r="H280" i="2" a="1"/>
  <c r="H280" i="2" s="1"/>
  <c r="H281" i="2" a="1"/>
  <c r="H281" i="2" s="1"/>
  <c r="H282" i="2" a="1"/>
  <c r="H282" i="2" s="1"/>
  <c r="H283" i="2" a="1"/>
  <c r="H283" i="2" s="1"/>
  <c r="H284" i="2" a="1"/>
  <c r="H284" i="2" s="1"/>
  <c r="H285" i="2" a="1"/>
  <c r="H285" i="2" s="1"/>
  <c r="H286" i="2" a="1"/>
  <c r="H286" i="2" s="1"/>
  <c r="H287" i="2" a="1"/>
  <c r="H287" i="2" s="1"/>
  <c r="H288" i="2" a="1"/>
  <c r="H288" i="2" s="1"/>
  <c r="H289" i="2" a="1"/>
  <c r="H289" i="2" s="1"/>
  <c r="H290" i="2" a="1"/>
  <c r="H290" i="2" s="1"/>
  <c r="H291" i="2" a="1"/>
  <c r="H291" i="2" s="1"/>
  <c r="H292" i="2" a="1"/>
  <c r="H292" i="2" s="1"/>
  <c r="H293" i="2" a="1"/>
  <c r="H293" i="2" s="1"/>
  <c r="H294" i="2" a="1"/>
  <c r="H294" i="2" s="1"/>
  <c r="H295" i="2" a="1"/>
  <c r="H295" i="2" s="1"/>
  <c r="H296" i="2" a="1"/>
  <c r="H296" i="2" s="1"/>
  <c r="H297" i="2" a="1"/>
  <c r="H297" i="2" s="1"/>
  <c r="H298" i="2" a="1"/>
  <c r="H298" i="2" s="1"/>
  <c r="H299" i="2" a="1"/>
  <c r="H299" i="2" s="1"/>
  <c r="H300" i="2" a="1"/>
  <c r="H300" i="2" s="1"/>
  <c r="H301" i="2" a="1"/>
  <c r="H301" i="2" s="1"/>
  <c r="H302" i="2" a="1"/>
  <c r="H302" i="2" s="1"/>
  <c r="H303" i="2" a="1"/>
  <c r="H303" i="2" s="1"/>
  <c r="H304" i="2" a="1"/>
  <c r="H304" i="2" s="1"/>
  <c r="H305" i="2" a="1"/>
  <c r="H305" i="2" s="1"/>
  <c r="H306" i="2" a="1"/>
  <c r="H306" i="2" s="1"/>
  <c r="H307" i="2" a="1"/>
  <c r="H307" i="2" s="1"/>
  <c r="H308" i="2" a="1"/>
  <c r="H308" i="2" s="1"/>
  <c r="H309" i="2" a="1"/>
  <c r="H309" i="2" s="1"/>
  <c r="H310" i="2" a="1"/>
  <c r="H310" i="2" s="1"/>
  <c r="H311" i="2" a="1"/>
  <c r="H311" i="2" s="1"/>
  <c r="H312" i="2" a="1"/>
  <c r="H312" i="2" s="1"/>
  <c r="H313" i="2" a="1"/>
  <c r="H313" i="2" s="1"/>
  <c r="H314" i="2" a="1"/>
  <c r="H314" i="2" s="1"/>
  <c r="H315" i="2" a="1"/>
  <c r="H315" i="2" s="1"/>
  <c r="H316" i="2" a="1"/>
  <c r="H316" i="2" s="1"/>
  <c r="H317" i="2" a="1"/>
  <c r="H317" i="2" s="1"/>
  <c r="H318" i="2" a="1"/>
  <c r="H318" i="2" s="1"/>
  <c r="H319" i="2" a="1"/>
  <c r="H319" i="2" s="1"/>
  <c r="H320" i="2" a="1"/>
  <c r="H320" i="2" s="1"/>
  <c r="H321" i="2" a="1"/>
  <c r="H321" i="2" s="1"/>
  <c r="H322" i="2" a="1"/>
  <c r="H322" i="2" s="1"/>
  <c r="H323" i="2" a="1"/>
  <c r="H323" i="2" s="1"/>
  <c r="H324" i="2" a="1"/>
  <c r="H324" i="2" s="1"/>
  <c r="H325" i="2" a="1"/>
  <c r="H325" i="2" s="1"/>
  <c r="H326" i="2" a="1"/>
  <c r="H326" i="2" s="1"/>
  <c r="H327" i="2" a="1"/>
  <c r="H327" i="2" s="1"/>
  <c r="H328" i="2" a="1"/>
  <c r="H328" i="2" s="1"/>
  <c r="H329" i="2" a="1"/>
  <c r="H329" i="2" s="1"/>
  <c r="H330" i="2" a="1"/>
  <c r="H330" i="2" s="1"/>
  <c r="H331" i="2" a="1"/>
  <c r="H331" i="2" s="1"/>
  <c r="H332" i="2" a="1"/>
  <c r="H332" i="2" s="1"/>
  <c r="H333" i="2" a="1"/>
  <c r="H333" i="2" s="1"/>
  <c r="H334" i="2" a="1"/>
  <c r="H334" i="2" s="1"/>
  <c r="H335" i="2" a="1"/>
  <c r="H335" i="2" s="1"/>
  <c r="H336" i="2" a="1"/>
  <c r="H336" i="2" s="1"/>
  <c r="H337" i="2" a="1"/>
  <c r="H337" i="2" s="1"/>
  <c r="H338" i="2" a="1"/>
  <c r="H338" i="2" s="1"/>
  <c r="H339" i="2" a="1"/>
  <c r="H339" i="2" s="1"/>
  <c r="H340" i="2" a="1"/>
  <c r="H340" i="2" s="1"/>
  <c r="H341" i="2" a="1"/>
  <c r="H341" i="2" s="1"/>
  <c r="H342" i="2" a="1"/>
  <c r="H342" i="2" s="1"/>
  <c r="H343" i="2" a="1"/>
  <c r="H343" i="2" s="1"/>
  <c r="H344" i="2" a="1"/>
  <c r="H344" i="2" s="1"/>
  <c r="H345" i="2" a="1"/>
  <c r="H345" i="2" s="1"/>
  <c r="H346" i="2" a="1"/>
  <c r="H346" i="2" s="1"/>
  <c r="H347" i="2" a="1"/>
  <c r="H347" i="2" s="1"/>
  <c r="H348" i="2" a="1"/>
  <c r="H348" i="2" s="1"/>
  <c r="H349" i="2" a="1"/>
  <c r="H349" i="2" s="1"/>
  <c r="H350" i="2" a="1"/>
  <c r="H350" i="2" s="1"/>
  <c r="H351" i="2" a="1"/>
  <c r="H351" i="2"/>
  <c r="H352" i="2" a="1"/>
  <c r="H352" i="2" s="1"/>
  <c r="H353" i="2" a="1"/>
  <c r="H353" i="2" s="1"/>
  <c r="H354" i="2" a="1"/>
  <c r="H354" i="2" s="1"/>
  <c r="H355" i="2" a="1"/>
  <c r="H355" i="2"/>
  <c r="H356" i="2" a="1"/>
  <c r="H356" i="2" s="1"/>
  <c r="H357" i="2" a="1"/>
  <c r="H357" i="2" s="1"/>
  <c r="H358" i="2" a="1"/>
  <c r="H358" i="2" s="1"/>
  <c r="H359" i="2" a="1"/>
  <c r="H359" i="2" s="1"/>
  <c r="H360" i="2" a="1"/>
  <c r="H360" i="2" s="1"/>
  <c r="H361" i="2" a="1"/>
  <c r="H361" i="2" s="1"/>
  <c r="H362" i="2" a="1"/>
  <c r="H362" i="2" s="1"/>
  <c r="H363" i="2" a="1"/>
  <c r="H363" i="2" s="1"/>
  <c r="H364" i="2" a="1"/>
  <c r="H364" i="2" s="1"/>
  <c r="H365" i="2" a="1"/>
  <c r="H365" i="2" s="1"/>
  <c r="H366" i="2" a="1"/>
  <c r="H366" i="2" s="1"/>
  <c r="H367" i="2" a="1"/>
  <c r="H367" i="2" s="1"/>
  <c r="H368" i="2" a="1"/>
  <c r="H368" i="2" s="1"/>
  <c r="H369" i="2" a="1"/>
  <c r="H369" i="2" s="1"/>
  <c r="H370" i="2" a="1"/>
  <c r="H370" i="2" s="1"/>
  <c r="H371" i="2" a="1"/>
  <c r="H371" i="2" s="1"/>
  <c r="H372" i="2" a="1"/>
  <c r="H372" i="2" s="1"/>
  <c r="H373" i="2" a="1"/>
  <c r="H373" i="2" s="1"/>
  <c r="H374" i="2" a="1"/>
  <c r="H374" i="2" s="1"/>
  <c r="H375" i="2" a="1"/>
  <c r="H375" i="2" s="1"/>
  <c r="H376" i="2" a="1"/>
  <c r="H376" i="2" s="1"/>
  <c r="H377" i="2" a="1"/>
  <c r="H377" i="2" s="1"/>
  <c r="H378" i="2" a="1"/>
  <c r="H378" i="2" s="1"/>
  <c r="H379" i="2" a="1"/>
  <c r="H379" i="2" s="1"/>
  <c r="H380" i="2" a="1"/>
  <c r="H380" i="2" s="1"/>
  <c r="H381" i="2" a="1"/>
  <c r="H381" i="2" s="1"/>
  <c r="H382" i="2" a="1"/>
  <c r="H382" i="2" s="1"/>
  <c r="H383" i="2" a="1"/>
  <c r="H383" i="2" s="1"/>
  <c r="H384" i="2" a="1"/>
  <c r="H384" i="2" s="1"/>
  <c r="H385" i="2" a="1"/>
  <c r="H385" i="2" s="1"/>
  <c r="H386" i="2" a="1"/>
  <c r="H386" i="2" s="1"/>
  <c r="H387" i="2" a="1"/>
  <c r="H387" i="2" s="1"/>
  <c r="H388" i="2" a="1"/>
  <c r="H388" i="2" s="1"/>
  <c r="H389" i="2" a="1"/>
  <c r="H389" i="2" s="1"/>
  <c r="H390" i="2" a="1"/>
  <c r="H390" i="2" s="1"/>
  <c r="H391" i="2" a="1"/>
  <c r="H391" i="2" s="1"/>
  <c r="H392" i="2" a="1"/>
  <c r="H392" i="2" s="1"/>
  <c r="H393" i="2" a="1"/>
  <c r="H393" i="2" s="1"/>
  <c r="H394" i="2" a="1"/>
  <c r="H394" i="2" s="1"/>
  <c r="H395" i="2" a="1"/>
  <c r="H395" i="2" s="1"/>
  <c r="H396" i="2" a="1"/>
  <c r="H396" i="2" s="1"/>
  <c r="H397" i="2" a="1"/>
  <c r="H397" i="2" s="1"/>
  <c r="H398" i="2" a="1"/>
  <c r="H398" i="2" s="1"/>
  <c r="H399" i="2" a="1"/>
  <c r="H399" i="2" s="1"/>
  <c r="H400" i="2" a="1"/>
  <c r="H400" i="2" s="1"/>
  <c r="H401" i="2" a="1"/>
  <c r="H401" i="2" s="1"/>
  <c r="H402" i="2" a="1"/>
  <c r="H402" i="2" s="1"/>
  <c r="H403" i="2" a="1"/>
  <c r="H403" i="2"/>
  <c r="H404" i="2" a="1"/>
  <c r="H404" i="2" s="1"/>
  <c r="H405" i="2" a="1"/>
  <c r="H405" i="2"/>
  <c r="H406" i="2" a="1"/>
  <c r="H406" i="2" s="1"/>
  <c r="H407" i="2" a="1"/>
  <c r="H407" i="2" s="1"/>
  <c r="H408" i="2" a="1"/>
  <c r="H408" i="2" s="1"/>
  <c r="H409" i="2" a="1"/>
  <c r="H409" i="2" s="1"/>
  <c r="H410" i="2" a="1"/>
  <c r="H410" i="2" s="1"/>
  <c r="H411" i="2" a="1"/>
  <c r="H411" i="2" s="1"/>
  <c r="H412" i="2" a="1"/>
  <c r="H412" i="2" s="1"/>
  <c r="H413" i="2" a="1"/>
  <c r="H413" i="2" s="1"/>
  <c r="H414" i="2" a="1"/>
  <c r="H414" i="2" s="1"/>
  <c r="H415" i="2" a="1"/>
  <c r="H415" i="2" s="1"/>
  <c r="H416" i="2" a="1"/>
  <c r="H416" i="2" s="1"/>
  <c r="H417" i="2" a="1"/>
  <c r="H417" i="2" s="1"/>
  <c r="H418" i="2" a="1"/>
  <c r="H418" i="2" s="1"/>
  <c r="H419" i="2" a="1"/>
  <c r="H419" i="2" s="1"/>
  <c r="H420" i="2" a="1"/>
  <c r="H420" i="2" s="1"/>
  <c r="H421" i="2" a="1"/>
  <c r="H421" i="2" s="1"/>
  <c r="H422" i="2" a="1"/>
  <c r="H422" i="2" s="1"/>
  <c r="H423" i="2" a="1"/>
  <c r="H423" i="2" s="1"/>
  <c r="H424" i="2" a="1"/>
  <c r="H424" i="2" s="1"/>
  <c r="H425" i="2" a="1"/>
  <c r="H425" i="2" s="1"/>
  <c r="H426" i="2" a="1"/>
  <c r="H426" i="2" s="1"/>
  <c r="H427" i="2" a="1"/>
  <c r="H427" i="2" s="1"/>
  <c r="H428" i="2" a="1"/>
  <c r="H428" i="2" s="1"/>
  <c r="H429" i="2" a="1"/>
  <c r="H429" i="2" s="1"/>
  <c r="H430" i="2" a="1"/>
  <c r="H430" i="2" s="1"/>
  <c r="H431" i="2" a="1"/>
  <c r="H431" i="2" s="1"/>
  <c r="H432" i="2" a="1"/>
  <c r="H432" i="2" s="1"/>
  <c r="H433" i="2" a="1"/>
  <c r="H433" i="2" s="1"/>
  <c r="H434" i="2" a="1"/>
  <c r="H434" i="2" s="1"/>
  <c r="H435" i="2" a="1"/>
  <c r="H435" i="2"/>
  <c r="H436" i="2" a="1"/>
  <c r="H436" i="2" s="1"/>
  <c r="H437" i="2" a="1"/>
  <c r="H437" i="2"/>
  <c r="H438" i="2" a="1"/>
  <c r="H438" i="2" s="1"/>
  <c r="H439" i="2" a="1"/>
  <c r="H439" i="2" s="1"/>
  <c r="H440" i="2" a="1"/>
  <c r="H440" i="2" s="1"/>
  <c r="H441" i="2" a="1"/>
  <c r="H441" i="2" s="1"/>
  <c r="H442" i="2" a="1"/>
  <c r="H442" i="2" s="1"/>
  <c r="H443" i="2" a="1"/>
  <c r="H443" i="2" s="1"/>
  <c r="H444" i="2" a="1"/>
  <c r="H444" i="2" s="1"/>
  <c r="H445" i="2" a="1"/>
  <c r="H445" i="2" s="1"/>
  <c r="H446" i="2" a="1"/>
  <c r="H446" i="2" s="1"/>
  <c r="H447" i="2" a="1"/>
  <c r="H447" i="2" s="1"/>
  <c r="H448" i="2" a="1"/>
  <c r="H448" i="2" s="1"/>
  <c r="H449" i="2" a="1"/>
  <c r="H449" i="2" s="1"/>
  <c r="H450" i="2" a="1"/>
  <c r="H450" i="2" s="1"/>
  <c r="H451" i="2" a="1"/>
  <c r="H451" i="2" s="1"/>
  <c r="H452" i="2" a="1"/>
  <c r="H452" i="2" s="1"/>
  <c r="H453" i="2" a="1"/>
  <c r="H453" i="2" s="1"/>
  <c r="H454" i="2" a="1"/>
  <c r="H454" i="2" s="1"/>
  <c r="H455" i="2" a="1"/>
  <c r="H455" i="2" s="1"/>
  <c r="H456" i="2" a="1"/>
  <c r="H456" i="2" s="1"/>
  <c r="H457" i="2" a="1"/>
  <c r="H457" i="2"/>
  <c r="H458" i="2" a="1"/>
  <c r="H458" i="2" s="1"/>
  <c r="H459" i="2" a="1"/>
  <c r="H459" i="2" s="1"/>
  <c r="H460" i="2" a="1"/>
  <c r="H460" i="2" s="1"/>
  <c r="H461" i="2" a="1"/>
  <c r="H461" i="2" s="1"/>
  <c r="H462" i="2" a="1"/>
  <c r="H462" i="2" s="1"/>
  <c r="H463" i="2" a="1"/>
  <c r="H463" i="2" s="1"/>
  <c r="H464" i="2" a="1"/>
  <c r="H464" i="2" s="1"/>
  <c r="H465" i="2" a="1"/>
  <c r="H465" i="2" s="1"/>
  <c r="H466" i="2" a="1"/>
  <c r="H466" i="2" s="1"/>
  <c r="H467" i="2" a="1"/>
  <c r="H467" i="2" s="1"/>
  <c r="H468" i="2" a="1"/>
  <c r="H468" i="2" s="1"/>
  <c r="H469" i="2" a="1"/>
  <c r="H469" i="2" s="1"/>
  <c r="H470" i="2" a="1"/>
  <c r="H470" i="2" s="1"/>
  <c r="H471" i="2" a="1"/>
  <c r="H471" i="2" s="1"/>
  <c r="H472" i="2" a="1"/>
  <c r="H472" i="2" s="1"/>
  <c r="H473" i="2" a="1"/>
  <c r="H473" i="2" s="1"/>
  <c r="H474" i="2" a="1"/>
  <c r="H474" i="2" s="1"/>
  <c r="H475" i="2" a="1"/>
  <c r="H475" i="2" s="1"/>
  <c r="H476" i="2" a="1"/>
  <c r="H476" i="2" s="1"/>
  <c r="H477" i="2" a="1"/>
  <c r="H477" i="2" s="1"/>
  <c r="H478" i="2" a="1"/>
  <c r="H478" i="2" s="1"/>
  <c r="H479" i="2" a="1"/>
  <c r="H479" i="2" s="1"/>
  <c r="H480" i="2" a="1"/>
  <c r="H480" i="2" s="1"/>
  <c r="H481" i="2" a="1"/>
  <c r="H481" i="2" s="1"/>
  <c r="H482" i="2" a="1"/>
  <c r="H482" i="2" s="1"/>
  <c r="H483" i="2" a="1"/>
  <c r="H483" i="2" s="1"/>
  <c r="H484" i="2" a="1"/>
  <c r="H484" i="2" s="1"/>
  <c r="H485" i="2" a="1"/>
  <c r="H485" i="2" s="1"/>
  <c r="H486" i="2" a="1"/>
  <c r="H486" i="2" s="1"/>
  <c r="H487" i="2" a="1"/>
  <c r="H487" i="2" s="1"/>
  <c r="H488" i="2" a="1"/>
  <c r="H488" i="2" s="1"/>
  <c r="H489" i="2" a="1"/>
  <c r="H489" i="2" s="1"/>
  <c r="H490" i="2" a="1"/>
  <c r="H490" i="2" s="1"/>
  <c r="H491" i="2" a="1"/>
  <c r="H491" i="2" s="1"/>
  <c r="H492" i="2" a="1"/>
  <c r="H492" i="2" s="1"/>
  <c r="H493" i="2" a="1"/>
  <c r="H493" i="2" s="1"/>
  <c r="H494" i="2" a="1"/>
  <c r="H494" i="2" s="1"/>
  <c r="H495" i="2" a="1"/>
  <c r="H495" i="2" s="1"/>
  <c r="H496" i="2" a="1"/>
  <c r="H496" i="2" s="1"/>
  <c r="H497" i="2" a="1"/>
  <c r="H497" i="2" s="1"/>
  <c r="H498" i="2" a="1"/>
  <c r="H498" i="2" s="1"/>
  <c r="H499" i="2" a="1"/>
  <c r="H499" i="2" s="1"/>
  <c r="H500" i="2" a="1"/>
  <c r="H500" i="2" s="1"/>
  <c r="H501" i="2" a="1"/>
  <c r="H501" i="2" s="1"/>
  <c r="H502" i="2" a="1"/>
  <c r="H502" i="2" s="1"/>
  <c r="H503" i="2" a="1"/>
  <c r="H503" i="2" s="1"/>
  <c r="H504" i="2" a="1"/>
  <c r="H504" i="2" s="1"/>
  <c r="H505" i="2" a="1"/>
  <c r="H505" i="2" s="1"/>
  <c r="H506" i="2" a="1"/>
  <c r="H506" i="2" s="1"/>
  <c r="H507" i="2" a="1"/>
  <c r="H507" i="2" s="1"/>
  <c r="H508" i="2" a="1"/>
  <c r="H508" i="2" s="1"/>
  <c r="H509" i="2" a="1"/>
  <c r="H509" i="2" s="1"/>
  <c r="H510" i="2" a="1"/>
  <c r="H510" i="2" s="1"/>
  <c r="H511" i="2" a="1"/>
  <c r="H511" i="2" s="1"/>
  <c r="H512" i="2" a="1"/>
  <c r="H512" i="2" s="1"/>
  <c r="H513" i="2" a="1"/>
  <c r="H513" i="2" s="1"/>
  <c r="H514" i="2" a="1"/>
  <c r="H514" i="2" s="1"/>
  <c r="H515" i="2" a="1"/>
  <c r="H515" i="2" s="1"/>
  <c r="H516" i="2" a="1"/>
  <c r="H516" i="2" s="1"/>
  <c r="H517" i="2" a="1"/>
  <c r="H517" i="2" s="1"/>
  <c r="H518" i="2" a="1"/>
  <c r="H518" i="2" s="1"/>
  <c r="H519" i="2" a="1"/>
  <c r="H519" i="2" s="1"/>
  <c r="H520" i="2" a="1"/>
  <c r="H520" i="2" s="1"/>
  <c r="H521" i="2" a="1"/>
  <c r="H521" i="2" s="1"/>
  <c r="H522" i="2" a="1"/>
  <c r="H522" i="2" s="1"/>
  <c r="H523" i="2" a="1"/>
  <c r="H523" i="2" s="1"/>
  <c r="H524" i="2" a="1"/>
  <c r="H524" i="2" s="1"/>
  <c r="H525" i="2" a="1"/>
  <c r="H525" i="2" s="1"/>
  <c r="H526" i="2" a="1"/>
  <c r="H526" i="2" s="1"/>
  <c r="H527" i="2" a="1"/>
  <c r="H527" i="2" s="1"/>
  <c r="H528" i="2" a="1"/>
  <c r="H528" i="2" s="1"/>
  <c r="H529" i="2" a="1"/>
  <c r="H529" i="2" s="1"/>
  <c r="H530" i="2" a="1"/>
  <c r="H530" i="2" s="1"/>
  <c r="H531" i="2" a="1"/>
  <c r="H531" i="2" s="1"/>
  <c r="H532" i="2" a="1"/>
  <c r="H532" i="2" s="1"/>
  <c r="H533" i="2" a="1"/>
  <c r="H533" i="2" s="1"/>
  <c r="H534" i="2" a="1"/>
  <c r="H534" i="2" s="1"/>
  <c r="H535" i="2" a="1"/>
  <c r="H535" i="2" s="1"/>
  <c r="H536" i="2" a="1"/>
  <c r="H536" i="2" s="1"/>
  <c r="H537" i="2" a="1"/>
  <c r="H537" i="2" s="1"/>
  <c r="H538" i="2" a="1"/>
  <c r="H538" i="2" s="1"/>
  <c r="H539" i="2" a="1"/>
  <c r="H539" i="2" s="1"/>
  <c r="H540" i="2" a="1"/>
  <c r="H540" i="2" s="1"/>
  <c r="H541" i="2" a="1"/>
  <c r="H541" i="2" s="1"/>
  <c r="H542" i="2" a="1"/>
  <c r="H542" i="2" s="1"/>
  <c r="H543" i="2" a="1"/>
  <c r="H543" i="2" s="1"/>
  <c r="H544" i="2" a="1"/>
  <c r="H544" i="2" s="1"/>
  <c r="H545" i="2" a="1"/>
  <c r="H545" i="2" s="1"/>
  <c r="H546" i="2" a="1"/>
  <c r="H546" i="2" s="1"/>
  <c r="H547" i="2" a="1"/>
  <c r="H547" i="2" s="1"/>
  <c r="H548" i="2" a="1"/>
  <c r="H548" i="2" s="1"/>
  <c r="H549" i="2" a="1"/>
  <c r="H549" i="2" s="1"/>
  <c r="H550" i="2" a="1"/>
  <c r="H550" i="2" s="1"/>
  <c r="H551" i="2" a="1"/>
  <c r="H551" i="2" s="1"/>
  <c r="H552" i="2" a="1"/>
  <c r="H552" i="2" s="1"/>
  <c r="H553" i="2" a="1"/>
  <c r="H553" i="2" s="1"/>
  <c r="H554" i="2" a="1"/>
  <c r="H554" i="2" s="1"/>
  <c r="H555" i="2" a="1"/>
  <c r="H555" i="2" s="1"/>
  <c r="H556" i="2" a="1"/>
  <c r="H556" i="2" s="1"/>
  <c r="H557" i="2" a="1"/>
  <c r="H557" i="2" s="1"/>
  <c r="H558" i="2" a="1"/>
  <c r="H558" i="2" s="1"/>
  <c r="H559" i="2" a="1"/>
  <c r="H559" i="2" s="1"/>
  <c r="H560" i="2" a="1"/>
  <c r="H560" i="2" s="1"/>
  <c r="H561" i="2" a="1"/>
  <c r="H561" i="2" s="1"/>
  <c r="H562" i="2" a="1"/>
  <c r="H562" i="2" s="1"/>
  <c r="H563" i="2" a="1"/>
  <c r="H563" i="2" s="1"/>
  <c r="H564" i="2" a="1"/>
  <c r="H564" i="2" s="1"/>
  <c r="H565" i="2" a="1"/>
  <c r="H565" i="2" s="1"/>
  <c r="H566" i="2" a="1"/>
  <c r="H566" i="2" s="1"/>
  <c r="H567" i="2" a="1"/>
  <c r="H567" i="2" s="1"/>
  <c r="H568" i="2" a="1"/>
  <c r="H568" i="2" s="1"/>
  <c r="H569" i="2" a="1"/>
  <c r="H569" i="2" s="1"/>
  <c r="H570" i="2" a="1"/>
  <c r="H570" i="2" s="1"/>
  <c r="H571" i="2" a="1"/>
  <c r="H571" i="2" s="1"/>
  <c r="H572" i="2" a="1"/>
  <c r="H572" i="2" s="1"/>
  <c r="H573" i="2" a="1"/>
  <c r="H573" i="2" s="1"/>
  <c r="H574" i="2" a="1"/>
  <c r="H574" i="2" s="1"/>
  <c r="H575" i="2" a="1"/>
  <c r="H575" i="2" s="1"/>
  <c r="H576" i="2" a="1"/>
  <c r="H576" i="2" s="1"/>
  <c r="H577" i="2" a="1"/>
  <c r="H577" i="2" s="1"/>
  <c r="H578" i="2" a="1"/>
  <c r="H578" i="2" s="1"/>
  <c r="H579" i="2" a="1"/>
  <c r="H579" i="2" s="1"/>
  <c r="H580" i="2" a="1"/>
  <c r="H580" i="2" s="1"/>
  <c r="H581" i="2" a="1"/>
  <c r="H581" i="2" s="1"/>
  <c r="H582" i="2" a="1"/>
  <c r="H582" i="2" s="1"/>
  <c r="H583" i="2" a="1"/>
  <c r="H583" i="2" s="1"/>
  <c r="H584" i="2" a="1"/>
  <c r="H584" i="2" s="1"/>
  <c r="H585" i="2" a="1"/>
  <c r="H585" i="2" s="1"/>
  <c r="H586" i="2" a="1"/>
  <c r="H586" i="2" s="1"/>
  <c r="H587" i="2" a="1"/>
  <c r="H587" i="2" s="1"/>
  <c r="H588" i="2" a="1"/>
  <c r="H588" i="2" s="1"/>
  <c r="H589" i="2" a="1"/>
  <c r="H589" i="2" s="1"/>
  <c r="H590" i="2" a="1"/>
  <c r="H590" i="2" s="1"/>
  <c r="H591" i="2" a="1"/>
  <c r="H591" i="2" s="1"/>
  <c r="H592" i="2" a="1"/>
  <c r="H592" i="2" s="1"/>
  <c r="H593" i="2" a="1"/>
  <c r="H593" i="2" s="1"/>
  <c r="H594" i="2" a="1"/>
  <c r="H594" i="2" s="1"/>
  <c r="H595" i="2" a="1"/>
  <c r="H595" i="2" s="1"/>
  <c r="H596" i="2" a="1"/>
  <c r="H596" i="2" s="1"/>
  <c r="H597" i="2" a="1"/>
  <c r="H597" i="2" s="1"/>
  <c r="H598" i="2" a="1"/>
  <c r="H598" i="2" s="1"/>
  <c r="H599" i="2" a="1"/>
  <c r="H599" i="2" s="1"/>
  <c r="H600" i="2" a="1"/>
  <c r="H600" i="2" s="1"/>
  <c r="H601" i="2" a="1"/>
  <c r="H601" i="2" s="1"/>
  <c r="H602" i="2" a="1"/>
  <c r="H602" i="2" s="1"/>
  <c r="H603" i="2" a="1"/>
  <c r="H603" i="2" s="1"/>
  <c r="H604" i="2" a="1"/>
  <c r="H604" i="2" s="1"/>
  <c r="H605" i="2" a="1"/>
  <c r="H605" i="2" s="1"/>
  <c r="H606" i="2" a="1"/>
  <c r="H606" i="2" s="1"/>
  <c r="H607" i="2" a="1"/>
  <c r="H607" i="2" s="1"/>
  <c r="H608" i="2" a="1"/>
  <c r="H608" i="2" s="1"/>
  <c r="H609" i="2" a="1"/>
  <c r="H609" i="2" s="1"/>
  <c r="H610" i="2" a="1"/>
  <c r="H610" i="2" s="1"/>
  <c r="H611" i="2" a="1"/>
  <c r="H611" i="2" s="1"/>
  <c r="H612" i="2" a="1"/>
  <c r="H612" i="2" s="1"/>
  <c r="H613" i="2" a="1"/>
  <c r="H613" i="2" s="1"/>
  <c r="H614" i="2" a="1"/>
  <c r="H614" i="2" s="1"/>
  <c r="H615" i="2" a="1"/>
  <c r="H615" i="2" s="1"/>
  <c r="H616" i="2" a="1"/>
  <c r="H616" i="2" s="1"/>
  <c r="H617" i="2" a="1"/>
  <c r="H617" i="2" s="1"/>
  <c r="H618" i="2" a="1"/>
  <c r="H618" i="2" s="1"/>
  <c r="H619" i="2" a="1"/>
  <c r="H619" i="2" s="1"/>
  <c r="H620" i="2" a="1"/>
  <c r="H620" i="2" s="1"/>
  <c r="H621" i="2" a="1"/>
  <c r="H621" i="2" s="1"/>
  <c r="H622" i="2" a="1"/>
  <c r="H622" i="2" s="1"/>
  <c r="H623" i="2" a="1"/>
  <c r="H623" i="2" s="1"/>
  <c r="H624" i="2" a="1"/>
  <c r="H624" i="2" s="1"/>
  <c r="H625" i="2" a="1"/>
  <c r="H625" i="2" s="1"/>
  <c r="H626" i="2" a="1"/>
  <c r="H626" i="2" s="1"/>
  <c r="H627" i="2" a="1"/>
  <c r="H627" i="2" s="1"/>
  <c r="H628" i="2" a="1"/>
  <c r="H628" i="2" s="1"/>
  <c r="H629" i="2" a="1"/>
  <c r="H629" i="2" s="1"/>
  <c r="H630" i="2" a="1"/>
  <c r="H630" i="2" s="1"/>
  <c r="H631" i="2" a="1"/>
  <c r="H631" i="2" s="1"/>
  <c r="H632" i="2" a="1"/>
  <c r="H632" i="2" s="1"/>
  <c r="H633" i="2" a="1"/>
  <c r="H633" i="2" s="1"/>
  <c r="H634" i="2" a="1"/>
  <c r="H634" i="2" s="1"/>
  <c r="H635" i="2" a="1"/>
  <c r="H635" i="2" s="1"/>
  <c r="H636" i="2" a="1"/>
  <c r="H636" i="2" s="1"/>
  <c r="H637" i="2" a="1"/>
  <c r="H637" i="2" s="1"/>
  <c r="H638" i="2" a="1"/>
  <c r="H638" i="2" s="1"/>
  <c r="H639" i="2" a="1"/>
  <c r="H639" i="2" s="1"/>
  <c r="H640" i="2" a="1"/>
  <c r="H640" i="2" s="1"/>
  <c r="H641" i="2" a="1"/>
  <c r="H641" i="2" s="1"/>
  <c r="H642" i="2" a="1"/>
  <c r="H642" i="2" s="1"/>
  <c r="H643" i="2" a="1"/>
  <c r="H643" i="2" s="1"/>
  <c r="H644" i="2" a="1"/>
  <c r="H644" i="2" s="1"/>
  <c r="H645" i="2" a="1"/>
  <c r="H645" i="2" s="1"/>
  <c r="H646" i="2" a="1"/>
  <c r="H646" i="2" s="1"/>
  <c r="H647" i="2" a="1"/>
  <c r="H647" i="2" s="1"/>
  <c r="H648" i="2" a="1"/>
  <c r="H648" i="2" s="1"/>
  <c r="H649" i="2" a="1"/>
  <c r="H649" i="2" s="1"/>
  <c r="H650" i="2" a="1"/>
  <c r="H650" i="2" s="1"/>
  <c r="H651" i="2" a="1"/>
  <c r="H651" i="2" s="1"/>
  <c r="H652" i="2" a="1"/>
  <c r="H652" i="2" s="1"/>
  <c r="H653" i="2" a="1"/>
  <c r="H653" i="2" s="1"/>
  <c r="H654" i="2" a="1"/>
  <c r="H654" i="2" s="1"/>
  <c r="H655" i="2" a="1"/>
  <c r="H655" i="2" s="1"/>
  <c r="H656" i="2" a="1"/>
  <c r="H656" i="2" s="1"/>
  <c r="H657" i="2" a="1"/>
  <c r="H657" i="2" s="1"/>
  <c r="H658" i="2" a="1"/>
  <c r="H658" i="2" s="1"/>
  <c r="H659" i="2" a="1"/>
  <c r="H659" i="2" s="1"/>
  <c r="H660" i="2" a="1"/>
  <c r="H660" i="2" s="1"/>
  <c r="H661" i="2" a="1"/>
  <c r="H661" i="2" s="1"/>
  <c r="H662" i="2" a="1"/>
  <c r="H662" i="2" s="1"/>
  <c r="H663" i="2" a="1"/>
  <c r="H663" i="2" s="1"/>
  <c r="H664" i="2" a="1"/>
  <c r="H664" i="2" s="1"/>
  <c r="H665" i="2" a="1"/>
  <c r="H665" i="2" s="1"/>
  <c r="H666" i="2" a="1"/>
  <c r="H666" i="2" s="1"/>
  <c r="H667" i="2" a="1"/>
  <c r="H667" i="2" s="1"/>
  <c r="H668" i="2" a="1"/>
  <c r="H668" i="2" s="1"/>
  <c r="H669" i="2" a="1"/>
  <c r="H669" i="2" s="1"/>
  <c r="H670" i="2" a="1"/>
  <c r="H670" i="2" s="1"/>
  <c r="H671" i="2" a="1"/>
  <c r="H671" i="2" s="1"/>
  <c r="H672" i="2" a="1"/>
  <c r="H672" i="2" s="1"/>
  <c r="H673" i="2" a="1"/>
  <c r="H673" i="2" s="1"/>
  <c r="H674" i="2" a="1"/>
  <c r="H674" i="2" s="1"/>
  <c r="H675" i="2" a="1"/>
  <c r="H675" i="2" s="1"/>
  <c r="H676" i="2" a="1"/>
  <c r="H676" i="2" s="1"/>
  <c r="H677" i="2" a="1"/>
  <c r="H677" i="2" s="1"/>
  <c r="H678" i="2" a="1"/>
  <c r="H678" i="2" s="1"/>
  <c r="H679" i="2" a="1"/>
  <c r="H679" i="2" s="1"/>
  <c r="H680" i="2" a="1"/>
  <c r="H680" i="2" s="1"/>
  <c r="H681" i="2" a="1"/>
  <c r="H681" i="2" s="1"/>
  <c r="H682" i="2" a="1"/>
  <c r="H682" i="2" s="1"/>
  <c r="H683" i="2" a="1"/>
  <c r="H683" i="2" s="1"/>
  <c r="H684" i="2" a="1"/>
  <c r="H684" i="2" s="1"/>
  <c r="H685" i="2" a="1"/>
  <c r="H685" i="2" s="1"/>
  <c r="H686" i="2" a="1"/>
  <c r="H686" i="2" s="1"/>
  <c r="H687" i="2" a="1"/>
  <c r="H687" i="2" s="1"/>
  <c r="H688" i="2" a="1"/>
  <c r="H688" i="2" s="1"/>
  <c r="H689" i="2" a="1"/>
  <c r="H689" i="2" s="1"/>
  <c r="H690" i="2" a="1"/>
  <c r="H690" i="2" s="1"/>
  <c r="H691" i="2" a="1"/>
  <c r="H691" i="2" s="1"/>
  <c r="H692" i="2" a="1"/>
  <c r="H692" i="2" s="1"/>
  <c r="H693" i="2" a="1"/>
  <c r="H693" i="2" s="1"/>
  <c r="H694" i="2" a="1"/>
  <c r="H694" i="2" s="1"/>
  <c r="H695" i="2" a="1"/>
  <c r="H695" i="2" s="1"/>
  <c r="H696" i="2" a="1"/>
  <c r="H696" i="2" s="1"/>
  <c r="H697" i="2" a="1"/>
  <c r="H697" i="2" s="1"/>
  <c r="H698" i="2" a="1"/>
  <c r="H698" i="2" s="1"/>
  <c r="H699" i="2" a="1"/>
  <c r="H699" i="2" s="1"/>
  <c r="H700" i="2" a="1"/>
  <c r="H700" i="2" s="1"/>
  <c r="H701" i="2" a="1"/>
  <c r="H701" i="2" s="1"/>
  <c r="H702" i="2" a="1"/>
  <c r="H702" i="2" s="1"/>
  <c r="H703" i="2" a="1"/>
  <c r="H703" i="2" s="1"/>
  <c r="H704" i="2" a="1"/>
  <c r="H704" i="2" s="1"/>
  <c r="H705" i="2" a="1"/>
  <c r="H705" i="2" s="1"/>
  <c r="H706" i="2" a="1"/>
  <c r="H706" i="2" s="1"/>
  <c r="H707" i="2" a="1"/>
  <c r="H707" i="2" s="1"/>
  <c r="H708" i="2" a="1"/>
  <c r="H708" i="2" s="1"/>
  <c r="H709" i="2" a="1"/>
  <c r="H709" i="2" s="1"/>
  <c r="H710" i="2" a="1"/>
  <c r="H710" i="2" s="1"/>
  <c r="H711" i="2" a="1"/>
  <c r="H711" i="2" s="1"/>
  <c r="H712" i="2" a="1"/>
  <c r="H712" i="2" s="1"/>
  <c r="H713" i="2" a="1"/>
  <c r="H713" i="2" s="1"/>
  <c r="H714" i="2" a="1"/>
  <c r="H714" i="2" s="1"/>
  <c r="H715" i="2" a="1"/>
  <c r="H715" i="2" s="1"/>
  <c r="H716" i="2" a="1"/>
  <c r="H716" i="2" s="1"/>
  <c r="H717" i="2" a="1"/>
  <c r="H717" i="2" s="1"/>
  <c r="H718" i="2" a="1"/>
  <c r="H718" i="2" s="1"/>
  <c r="H719" i="2" a="1"/>
  <c r="H719" i="2" s="1"/>
  <c r="H720" i="2" a="1"/>
  <c r="H720" i="2" s="1"/>
  <c r="H721" i="2" a="1"/>
  <c r="H721" i="2" s="1"/>
  <c r="H722" i="2" a="1"/>
  <c r="H722" i="2" s="1"/>
  <c r="H723" i="2" a="1"/>
  <c r="H723" i="2" s="1"/>
  <c r="H724" i="2" a="1"/>
  <c r="H724" i="2" s="1"/>
  <c r="H725" i="2" a="1"/>
  <c r="H725" i="2" s="1"/>
  <c r="H726" i="2" a="1"/>
  <c r="H726" i="2" s="1"/>
  <c r="H727" i="2" a="1"/>
  <c r="H727" i="2" s="1"/>
  <c r="H728" i="2" a="1"/>
  <c r="H728" i="2" s="1"/>
  <c r="H729" i="2" a="1"/>
  <c r="H729" i="2" s="1"/>
  <c r="H730" i="2" a="1"/>
  <c r="H730" i="2" s="1"/>
  <c r="H731" i="2" a="1"/>
  <c r="H731" i="2" s="1"/>
  <c r="H732" i="2" a="1"/>
  <c r="H732" i="2" s="1"/>
  <c r="H733" i="2" a="1"/>
  <c r="H733" i="2" s="1"/>
  <c r="H734" i="2" a="1"/>
  <c r="H734" i="2" s="1"/>
  <c r="H735" i="2" a="1"/>
  <c r="H735" i="2" s="1"/>
  <c r="H736" i="2" a="1"/>
  <c r="H736" i="2" s="1"/>
  <c r="H737" i="2" a="1"/>
  <c r="H737" i="2" s="1"/>
  <c r="H738" i="2" a="1"/>
  <c r="H738" i="2" s="1"/>
  <c r="H739" i="2" a="1"/>
  <c r="H739" i="2" s="1"/>
  <c r="H740" i="2" a="1"/>
  <c r="H740" i="2" s="1"/>
  <c r="H741" i="2" a="1"/>
  <c r="H741" i="2" s="1"/>
  <c r="H742" i="2" a="1"/>
  <c r="H742" i="2" s="1"/>
  <c r="H743" i="2" a="1"/>
  <c r="H743" i="2" s="1"/>
  <c r="H744" i="2" a="1"/>
  <c r="H744" i="2" s="1"/>
  <c r="H745" i="2" a="1"/>
  <c r="H745" i="2" s="1"/>
  <c r="H746" i="2" a="1"/>
  <c r="H746" i="2" s="1"/>
  <c r="H747" i="2" a="1"/>
  <c r="H747" i="2" s="1"/>
  <c r="H748" i="2" a="1"/>
  <c r="H748" i="2" s="1"/>
  <c r="H749" i="2" a="1"/>
  <c r="H749" i="2" s="1"/>
  <c r="H750" i="2" a="1"/>
  <c r="H750" i="2" s="1"/>
  <c r="H751" i="2" a="1"/>
  <c r="H751" i="2" s="1"/>
  <c r="H752" i="2" a="1"/>
  <c r="H752" i="2" s="1"/>
  <c r="H753" i="2" a="1"/>
  <c r="H753" i="2" s="1"/>
  <c r="H754" i="2" a="1"/>
  <c r="H754" i="2" s="1"/>
  <c r="H755" i="2" a="1"/>
  <c r="H755" i="2" s="1"/>
  <c r="H756" i="2" a="1"/>
  <c r="H756" i="2" s="1"/>
  <c r="H757" i="2" a="1"/>
  <c r="H757" i="2" s="1"/>
  <c r="H758" i="2" a="1"/>
  <c r="H758" i="2" s="1"/>
  <c r="H759" i="2" a="1"/>
  <c r="H759" i="2" s="1"/>
  <c r="H760" i="2" a="1"/>
  <c r="H760" i="2" s="1"/>
  <c r="H761" i="2" a="1"/>
  <c r="H761" i="2" s="1"/>
  <c r="H762" i="2" a="1"/>
  <c r="H762" i="2" s="1"/>
  <c r="H763" i="2" a="1"/>
  <c r="H763" i="2" s="1"/>
  <c r="H764" i="2" a="1"/>
  <c r="H764" i="2" s="1"/>
  <c r="H765" i="2" a="1"/>
  <c r="H765" i="2" s="1"/>
  <c r="H766" i="2" a="1"/>
  <c r="H766" i="2" s="1"/>
  <c r="H767" i="2" a="1"/>
  <c r="H767" i="2" s="1"/>
  <c r="H768" i="2" a="1"/>
  <c r="H768" i="2" s="1"/>
  <c r="H769" i="2" a="1"/>
  <c r="H769" i="2" s="1"/>
  <c r="H770" i="2" a="1"/>
  <c r="H770" i="2" s="1"/>
  <c r="H771" i="2" a="1"/>
  <c r="H771" i="2" s="1"/>
  <c r="H772" i="2" a="1"/>
  <c r="H772" i="2" s="1"/>
  <c r="H773" i="2" a="1"/>
  <c r="H773" i="2" s="1"/>
  <c r="H774" i="2" a="1"/>
  <c r="H774" i="2" s="1"/>
  <c r="H775" i="2" a="1"/>
  <c r="H775" i="2" s="1"/>
  <c r="H776" i="2" a="1"/>
  <c r="H776" i="2" s="1"/>
  <c r="H777" i="2" a="1"/>
  <c r="H777" i="2" s="1"/>
  <c r="H778" i="2" a="1"/>
  <c r="H778" i="2" s="1"/>
  <c r="H779" i="2" a="1"/>
  <c r="H779" i="2" s="1"/>
  <c r="H780" i="2" a="1"/>
  <c r="H780" i="2" s="1"/>
  <c r="H781" i="2" a="1"/>
  <c r="H781" i="2" s="1"/>
  <c r="H782" i="2" a="1"/>
  <c r="H782" i="2" s="1"/>
  <c r="H783" i="2" a="1"/>
  <c r="H783" i="2" s="1"/>
  <c r="H784" i="2" a="1"/>
  <c r="H784" i="2" s="1"/>
  <c r="H785" i="2" a="1"/>
  <c r="H785" i="2" s="1"/>
  <c r="H786" i="2" a="1"/>
  <c r="H786" i="2" s="1"/>
  <c r="H787" i="2" a="1"/>
  <c r="H787" i="2" s="1"/>
  <c r="H788" i="2" a="1"/>
  <c r="H788" i="2" s="1"/>
  <c r="H789" i="2" a="1"/>
  <c r="H789" i="2" s="1"/>
  <c r="H790" i="2" a="1"/>
  <c r="H790" i="2" s="1"/>
  <c r="H791" i="2" a="1"/>
  <c r="H791" i="2" s="1"/>
  <c r="H792" i="2" a="1"/>
  <c r="H792" i="2" s="1"/>
  <c r="H793" i="2" a="1"/>
  <c r="H793" i="2" s="1"/>
  <c r="H794" i="2" a="1"/>
  <c r="H794" i="2" s="1"/>
  <c r="H795" i="2" a="1"/>
  <c r="H795" i="2" s="1"/>
  <c r="H796" i="2" a="1"/>
  <c r="H796" i="2" s="1"/>
  <c r="H797" i="2" a="1"/>
  <c r="H797" i="2" s="1"/>
  <c r="H798" i="2" a="1"/>
  <c r="H798" i="2" s="1"/>
  <c r="H799" i="2" a="1"/>
  <c r="H799" i="2" s="1"/>
  <c r="H800" i="2" a="1"/>
  <c r="H800" i="2" s="1"/>
  <c r="H801" i="2" a="1"/>
  <c r="H801" i="2" s="1"/>
  <c r="U2" i="2" a="1"/>
  <c r="U2" i="2" s="1"/>
  <c r="V2" i="2" a="1"/>
  <c r="V2" i="2" s="1"/>
  <c r="W2" i="2" a="1"/>
  <c r="W2" i="2" s="1"/>
  <c r="S9" i="2" l="1"/>
  <c r="S8" i="2"/>
  <c r="S7" i="2"/>
  <c r="S6" i="2"/>
  <c r="S5" i="2"/>
  <c r="S4" i="2"/>
  <c r="S3" i="2"/>
  <c r="S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<sst xmlns="http://schemas.openxmlformats.org/spreadsheetml/2006/main" count="4886" uniqueCount="864">
  <si>
    <t>Product ID</t>
  </si>
  <si>
    <t>Order ID</t>
  </si>
  <si>
    <t>Excel Pivot tables and Pivot charts task</t>
  </si>
  <si>
    <t>Product Name</t>
  </si>
  <si>
    <t>Category</t>
  </si>
  <si>
    <t>Month</t>
  </si>
  <si>
    <t>Unit Price</t>
  </si>
  <si>
    <t>PROD-200</t>
  </si>
  <si>
    <t>Salesman</t>
  </si>
  <si>
    <t>Region</t>
  </si>
  <si>
    <t>Smartphone X</t>
  </si>
  <si>
    <t>Your Steps:</t>
  </si>
  <si>
    <t>Electronics</t>
  </si>
  <si>
    <t>Quantity</t>
  </si>
  <si>
    <t>Order Status</t>
  </si>
  <si>
    <t>ORD-7000</t>
  </si>
  <si>
    <t>Good Luck, Data Analyst! Deliver your absolute best work.</t>
  </si>
  <si>
    <t>April</t>
  </si>
  <si>
    <t>PROD-201</t>
  </si>
  <si>
    <t>Youssef Zayed</t>
  </si>
  <si>
    <t>South</t>
  </si>
  <si>
    <t>Delivered</t>
  </si>
  <si>
    <t>ORD-7001</t>
  </si>
  <si>
    <t>PROD-205</t>
  </si>
  <si>
    <t>West</t>
  </si>
  <si>
    <t>Cancelled</t>
  </si>
  <si>
    <t>ORD-7002</t>
  </si>
  <si>
    <t>February</t>
  </si>
  <si>
    <t>Tablet Air</t>
  </si>
  <si>
    <t>Ahmed Ali</t>
  </si>
  <si>
    <t>PROD-202</t>
  </si>
  <si>
    <t>Wireless Headphones</t>
  </si>
  <si>
    <t>Accessories</t>
  </si>
  <si>
    <t>ORD-7003</t>
  </si>
  <si>
    <t>May</t>
  </si>
  <si>
    <t>PROD-203</t>
  </si>
  <si>
    <t>Mechanical Keyboard</t>
  </si>
  <si>
    <t>Arwa Mahmoud</t>
  </si>
  <si>
    <t>PROD-204</t>
  </si>
  <si>
    <t>Gaming Mouse</t>
  </si>
  <si>
    <t>ORD-7004</t>
  </si>
  <si>
    <t>Sara Amr</t>
  </si>
  <si>
    <t>4K Monitor</t>
  </si>
  <si>
    <t>PROD-206</t>
  </si>
  <si>
    <t>ORD-7005</t>
  </si>
  <si>
    <t>Bluetooth Speaker</t>
  </si>
  <si>
    <t>PROD-207</t>
  </si>
  <si>
    <t>North</t>
  </si>
  <si>
    <t>Ergonomic Chair</t>
  </si>
  <si>
    <t>Furniture</t>
  </si>
  <si>
    <t>ORD-7006</t>
  </si>
  <si>
    <t>ORD-7007</t>
  </si>
  <si>
    <t>East</t>
  </si>
  <si>
    <t>ORD-7008</t>
  </si>
  <si>
    <t>January</t>
  </si>
  <si>
    <t>ORD-7009</t>
  </si>
  <si>
    <t>March</t>
  </si>
  <si>
    <t>ORD-7010</t>
  </si>
  <si>
    <t>June</t>
  </si>
  <si>
    <t>ORD-7011</t>
  </si>
  <si>
    <t>Omar Hassan</t>
  </si>
  <si>
    <t>Shipped</t>
  </si>
  <si>
    <t>ORD-7012</t>
  </si>
  <si>
    <t>ORD-7013</t>
  </si>
  <si>
    <t>ORD-7014</t>
  </si>
  <si>
    <t>ORD-7015</t>
  </si>
  <si>
    <t>ORD-7016</t>
  </si>
  <si>
    <t>ORD-7017</t>
  </si>
  <si>
    <t>ORD-7018</t>
  </si>
  <si>
    <t>ORD-7019</t>
  </si>
  <si>
    <t>ORD-7020</t>
  </si>
  <si>
    <t>ORD-7021</t>
  </si>
  <si>
    <t>ORD-7022</t>
  </si>
  <si>
    <t>ORD-7023</t>
  </si>
  <si>
    <t>ORD-7024</t>
  </si>
  <si>
    <t>ORD-7025</t>
  </si>
  <si>
    <t>ORD-7026</t>
  </si>
  <si>
    <t>ORD-7027</t>
  </si>
  <si>
    <t>ORD-7028</t>
  </si>
  <si>
    <t>ORD-7029</t>
  </si>
  <si>
    <t>ORD-7030</t>
  </si>
  <si>
    <t>ORD-7031</t>
  </si>
  <si>
    <t>ORD-7032</t>
  </si>
  <si>
    <t>ORD-7033</t>
  </si>
  <si>
    <t>ORD-7034</t>
  </si>
  <si>
    <t>ORD-7035</t>
  </si>
  <si>
    <t>ORD-7036</t>
  </si>
  <si>
    <t>ORD-7037</t>
  </si>
  <si>
    <t>ORD-7038</t>
  </si>
  <si>
    <t>ORD-7039</t>
  </si>
  <si>
    <t>ORD-7040</t>
  </si>
  <si>
    <t>ORD-7041</t>
  </si>
  <si>
    <t>ORD-7042</t>
  </si>
  <si>
    <t>ORD-7043</t>
  </si>
  <si>
    <t>ORD-7044</t>
  </si>
  <si>
    <t>ORD-7045</t>
  </si>
  <si>
    <t>ORD-7046</t>
  </si>
  <si>
    <t>ORD-7047</t>
  </si>
  <si>
    <t>ORD-7048</t>
  </si>
  <si>
    <t>ORD-7049</t>
  </si>
  <si>
    <t>ORD-7050</t>
  </si>
  <si>
    <t>ORD-7051</t>
  </si>
  <si>
    <t>ORD-7052</t>
  </si>
  <si>
    <t>ORD-7053</t>
  </si>
  <si>
    <t>ORD-7054</t>
  </si>
  <si>
    <t>ORD-7055</t>
  </si>
  <si>
    <t>ORD-7056</t>
  </si>
  <si>
    <t>ORD-7057</t>
  </si>
  <si>
    <t>ORD-7058</t>
  </si>
  <si>
    <t>ORD-7059</t>
  </si>
  <si>
    <t>ORD-7060</t>
  </si>
  <si>
    <t>ORD-7061</t>
  </si>
  <si>
    <t>ORD-7062</t>
  </si>
  <si>
    <t>ORD-7063</t>
  </si>
  <si>
    <t>ORD-7064</t>
  </si>
  <si>
    <t>ORD-7065</t>
  </si>
  <si>
    <t>ORD-7066</t>
  </si>
  <si>
    <t>ORD-7067</t>
  </si>
  <si>
    <t>ORD-7068</t>
  </si>
  <si>
    <t>ORD-7069</t>
  </si>
  <si>
    <t>ORD-7070</t>
  </si>
  <si>
    <t>ORD-7071</t>
  </si>
  <si>
    <t>ORD-7072</t>
  </si>
  <si>
    <t>ORD-7073</t>
  </si>
  <si>
    <t>ORD-7074</t>
  </si>
  <si>
    <t>ORD-7075</t>
  </si>
  <si>
    <t>ORD-7076</t>
  </si>
  <si>
    <t>ORD-7077</t>
  </si>
  <si>
    <t>ORD-7078</t>
  </si>
  <si>
    <t>ORD-7079</t>
  </si>
  <si>
    <t>ORD-7080</t>
  </si>
  <si>
    <t>ORD-7081</t>
  </si>
  <si>
    <t>ORD-7082</t>
  </si>
  <si>
    <t>ORD-7083</t>
  </si>
  <si>
    <t>ORD-7084</t>
  </si>
  <si>
    <t>ORD-7085</t>
  </si>
  <si>
    <t>ORD-7086</t>
  </si>
  <si>
    <t>ORD-7087</t>
  </si>
  <si>
    <t>ORD-7088</t>
  </si>
  <si>
    <t>ORD-7089</t>
  </si>
  <si>
    <t>ORD-7090</t>
  </si>
  <si>
    <t>ORD-7091</t>
  </si>
  <si>
    <t>ORD-7092</t>
  </si>
  <si>
    <t>ORD-7093</t>
  </si>
  <si>
    <t>ORD-7094</t>
  </si>
  <si>
    <t>ORD-7095</t>
  </si>
  <si>
    <t>ORD-7096</t>
  </si>
  <si>
    <t>ORD-7097</t>
  </si>
  <si>
    <t>ORD-7098</t>
  </si>
  <si>
    <t>ORD-7099</t>
  </si>
  <si>
    <t>ORD-7100</t>
  </si>
  <si>
    <t>ORD-7101</t>
  </si>
  <si>
    <t>ORD-7102</t>
  </si>
  <si>
    <t>ORD-7103</t>
  </si>
  <si>
    <t>ORD-7104</t>
  </si>
  <si>
    <t>ORD-7105</t>
  </si>
  <si>
    <t>ORD-7106</t>
  </si>
  <si>
    <t>ORD-7107</t>
  </si>
  <si>
    <t>ORD-7108</t>
  </si>
  <si>
    <t>ORD-7109</t>
  </si>
  <si>
    <t>ORD-7110</t>
  </si>
  <si>
    <t>ORD-7111</t>
  </si>
  <si>
    <t>ORD-7112</t>
  </si>
  <si>
    <t>ORD-7113</t>
  </si>
  <si>
    <t>ORD-7114</t>
  </si>
  <si>
    <t>ORD-7115</t>
  </si>
  <si>
    <t>ORD-7116</t>
  </si>
  <si>
    <t>ORD-7117</t>
  </si>
  <si>
    <t>ORD-7118</t>
  </si>
  <si>
    <t>ORD-7119</t>
  </si>
  <si>
    <t>ORD-7120</t>
  </si>
  <si>
    <t>ORD-7121</t>
  </si>
  <si>
    <t>ORD-7122</t>
  </si>
  <si>
    <t>ORD-7123</t>
  </si>
  <si>
    <t>ORD-7124</t>
  </si>
  <si>
    <t>ORD-7125</t>
  </si>
  <si>
    <t>ORD-7126</t>
  </si>
  <si>
    <t>ORD-7127</t>
  </si>
  <si>
    <t>ORD-7128</t>
  </si>
  <si>
    <t>ORD-7129</t>
  </si>
  <si>
    <t>ORD-7130</t>
  </si>
  <si>
    <t>ORD-7131</t>
  </si>
  <si>
    <t>ORD-7132</t>
  </si>
  <si>
    <t>ORD-7133</t>
  </si>
  <si>
    <t>ORD-7134</t>
  </si>
  <si>
    <t>ORD-7135</t>
  </si>
  <si>
    <t>ORD-7136</t>
  </si>
  <si>
    <t>ORD-7137</t>
  </si>
  <si>
    <t>ORD-7138</t>
  </si>
  <si>
    <t>ORD-7139</t>
  </si>
  <si>
    <t>ORD-7140</t>
  </si>
  <si>
    <t>ORD-7141</t>
  </si>
  <si>
    <t>ORD-7142</t>
  </si>
  <si>
    <t>ORD-7143</t>
  </si>
  <si>
    <t>ORD-7144</t>
  </si>
  <si>
    <t>ORD-7145</t>
  </si>
  <si>
    <t>ORD-7146</t>
  </si>
  <si>
    <t>ORD-7147</t>
  </si>
  <si>
    <t>ORD-7148</t>
  </si>
  <si>
    <t>ORD-7149</t>
  </si>
  <si>
    <t>ORD-7150</t>
  </si>
  <si>
    <t>ORD-7151</t>
  </si>
  <si>
    <t>ORD-7152</t>
  </si>
  <si>
    <t>ORD-7153</t>
  </si>
  <si>
    <t>ORD-7154</t>
  </si>
  <si>
    <t>ORD-7155</t>
  </si>
  <si>
    <t>ORD-7156</t>
  </si>
  <si>
    <t>ORD-7157</t>
  </si>
  <si>
    <t>ORD-7158</t>
  </si>
  <si>
    <t>ORD-7159</t>
  </si>
  <si>
    <t>ORD-7160</t>
  </si>
  <si>
    <t>ORD-7161</t>
  </si>
  <si>
    <t>ORD-7162</t>
  </si>
  <si>
    <t>ORD-7163</t>
  </si>
  <si>
    <t>ORD-7164</t>
  </si>
  <si>
    <t>ORD-7165</t>
  </si>
  <si>
    <t>ORD-7166</t>
  </si>
  <si>
    <t>ORD-7167</t>
  </si>
  <si>
    <t>ORD-7168</t>
  </si>
  <si>
    <t>ORD-7169</t>
  </si>
  <si>
    <t>ORD-7170</t>
  </si>
  <si>
    <t>ORD-7171</t>
  </si>
  <si>
    <t>ORD-7172</t>
  </si>
  <si>
    <t>ORD-7173</t>
  </si>
  <si>
    <t>ORD-7174</t>
  </si>
  <si>
    <t>ORD-7175</t>
  </si>
  <si>
    <t>ORD-7176</t>
  </si>
  <si>
    <t>ORD-7177</t>
  </si>
  <si>
    <t>ORD-7178</t>
  </si>
  <si>
    <t>ORD-7179</t>
  </si>
  <si>
    <t>ORD-7180</t>
  </si>
  <si>
    <t>ORD-7181</t>
  </si>
  <si>
    <t>ORD-7182</t>
  </si>
  <si>
    <t>ORD-7183</t>
  </si>
  <si>
    <t>ORD-7184</t>
  </si>
  <si>
    <t>ORD-7185</t>
  </si>
  <si>
    <t>ORD-7186</t>
  </si>
  <si>
    <t>ORD-7187</t>
  </si>
  <si>
    <t>ORD-7188</t>
  </si>
  <si>
    <t>ORD-7189</t>
  </si>
  <si>
    <t>ORD-7190</t>
  </si>
  <si>
    <t>ORD-7191</t>
  </si>
  <si>
    <t>ORD-7192</t>
  </si>
  <si>
    <t>ORD-7193</t>
  </si>
  <si>
    <t>ORD-7194</t>
  </si>
  <si>
    <t>ORD-7195</t>
  </si>
  <si>
    <t>ORD-7196</t>
  </si>
  <si>
    <t>ORD-7197</t>
  </si>
  <si>
    <t>ORD-7198</t>
  </si>
  <si>
    <t>ORD-7199</t>
  </si>
  <si>
    <t>ORD-7200</t>
  </si>
  <si>
    <t>ORD-7201</t>
  </si>
  <si>
    <t>ORD-7202</t>
  </si>
  <si>
    <t>ORD-7203</t>
  </si>
  <si>
    <t>ORD-7204</t>
  </si>
  <si>
    <t>ORD-7205</t>
  </si>
  <si>
    <t>ORD-7206</t>
  </si>
  <si>
    <t>ORD-7207</t>
  </si>
  <si>
    <t>ORD-7208</t>
  </si>
  <si>
    <t>ORD-7209</t>
  </si>
  <si>
    <t>ORD-7210</t>
  </si>
  <si>
    <t>ORD-7211</t>
  </si>
  <si>
    <t>ORD-7212</t>
  </si>
  <si>
    <t>ORD-7213</t>
  </si>
  <si>
    <t>ORD-7214</t>
  </si>
  <si>
    <t>ORD-7215</t>
  </si>
  <si>
    <t>ORD-7216</t>
  </si>
  <si>
    <t>ORD-7217</t>
  </si>
  <si>
    <t>ORD-7218</t>
  </si>
  <si>
    <t>ORD-7219</t>
  </si>
  <si>
    <t>ORD-7220</t>
  </si>
  <si>
    <t>ORD-7221</t>
  </si>
  <si>
    <t>ORD-7222</t>
  </si>
  <si>
    <t>ORD-7223</t>
  </si>
  <si>
    <t>ORD-7224</t>
  </si>
  <si>
    <t>ORD-7225</t>
  </si>
  <si>
    <t>ORD-7226</t>
  </si>
  <si>
    <t>ORD-7227</t>
  </si>
  <si>
    <t>ORD-7228</t>
  </si>
  <si>
    <t>ORD-7229</t>
  </si>
  <si>
    <t>ORD-7230</t>
  </si>
  <si>
    <t>ORD-7231</t>
  </si>
  <si>
    <t>ORD-7232</t>
  </si>
  <si>
    <t>ORD-7233</t>
  </si>
  <si>
    <t>ORD-7234</t>
  </si>
  <si>
    <t>ORD-7235</t>
  </si>
  <si>
    <t>ORD-7236</t>
  </si>
  <si>
    <t>ORD-7237</t>
  </si>
  <si>
    <t>ORD-7238</t>
  </si>
  <si>
    <t>ORD-7239</t>
  </si>
  <si>
    <t>ORD-7240</t>
  </si>
  <si>
    <t>ORD-7241</t>
  </si>
  <si>
    <t>ORD-7242</t>
  </si>
  <si>
    <t>ORD-7243</t>
  </si>
  <si>
    <t>ORD-7244</t>
  </si>
  <si>
    <t>ORD-7245</t>
  </si>
  <si>
    <t>ORD-7246</t>
  </si>
  <si>
    <t>ORD-7247</t>
  </si>
  <si>
    <t>ORD-7248</t>
  </si>
  <si>
    <t>ORD-7249</t>
  </si>
  <si>
    <t>ORD-7250</t>
  </si>
  <si>
    <t>ORD-7251</t>
  </si>
  <si>
    <t>ORD-7252</t>
  </si>
  <si>
    <t>ORD-7253</t>
  </si>
  <si>
    <t>ORD-7254</t>
  </si>
  <si>
    <t>ORD-7255</t>
  </si>
  <si>
    <t>ORD-7256</t>
  </si>
  <si>
    <t>ORD-7257</t>
  </si>
  <si>
    <t>ORD-7258</t>
  </si>
  <si>
    <t>ORD-7259</t>
  </si>
  <si>
    <t>ORD-7260</t>
  </si>
  <si>
    <t>ORD-7261</t>
  </si>
  <si>
    <t>ORD-7262</t>
  </si>
  <si>
    <t>ORD-7263</t>
  </si>
  <si>
    <t>ORD-7264</t>
  </si>
  <si>
    <t>ORD-7265</t>
  </si>
  <si>
    <t>ORD-7266</t>
  </si>
  <si>
    <t>ORD-7267</t>
  </si>
  <si>
    <t>ORD-7268</t>
  </si>
  <si>
    <t>ORD-7269</t>
  </si>
  <si>
    <t>ORD-7270</t>
  </si>
  <si>
    <t>ORD-7271</t>
  </si>
  <si>
    <t>ORD-7272</t>
  </si>
  <si>
    <t>ORD-7273</t>
  </si>
  <si>
    <t>ORD-7274</t>
  </si>
  <si>
    <t>ORD-7275</t>
  </si>
  <si>
    <t>ORD-7276</t>
  </si>
  <si>
    <t>ORD-7277</t>
  </si>
  <si>
    <t>ORD-7278</t>
  </si>
  <si>
    <t>ORD-7279</t>
  </si>
  <si>
    <t>ORD-7280</t>
  </si>
  <si>
    <t>ORD-7281</t>
  </si>
  <si>
    <t>ORD-7282</t>
  </si>
  <si>
    <t>ORD-7283</t>
  </si>
  <si>
    <t>ORD-7284</t>
  </si>
  <si>
    <t>ORD-7285</t>
  </si>
  <si>
    <t>ORD-7286</t>
  </si>
  <si>
    <t>ORD-7287</t>
  </si>
  <si>
    <t>ORD-7288</t>
  </si>
  <si>
    <t>ORD-7289</t>
  </si>
  <si>
    <t>ORD-7290</t>
  </si>
  <si>
    <t>ORD-7291</t>
  </si>
  <si>
    <t>ORD-7292</t>
  </si>
  <si>
    <t>ORD-7293</t>
  </si>
  <si>
    <t>ORD-7294</t>
  </si>
  <si>
    <t>ORD-7295</t>
  </si>
  <si>
    <t>ORD-7296</t>
  </si>
  <si>
    <t>ORD-7297</t>
  </si>
  <si>
    <t>ORD-7298</t>
  </si>
  <si>
    <t>ORD-7299</t>
  </si>
  <si>
    <t>ORD-7300</t>
  </si>
  <si>
    <t>ORD-7301</t>
  </si>
  <si>
    <t>ORD-7302</t>
  </si>
  <si>
    <t>ORD-7303</t>
  </si>
  <si>
    <t>ORD-7304</t>
  </si>
  <si>
    <t>ORD-7305</t>
  </si>
  <si>
    <t>ORD-7306</t>
  </si>
  <si>
    <t>ORD-7307</t>
  </si>
  <si>
    <t>ORD-7308</t>
  </si>
  <si>
    <t>ORD-7309</t>
  </si>
  <si>
    <t>ORD-7310</t>
  </si>
  <si>
    <t>ORD-7311</t>
  </si>
  <si>
    <t>ORD-7312</t>
  </si>
  <si>
    <t>ORD-7313</t>
  </si>
  <si>
    <t>ORD-7314</t>
  </si>
  <si>
    <t>ORD-7315</t>
  </si>
  <si>
    <t>ORD-7316</t>
  </si>
  <si>
    <t>ORD-7317</t>
  </si>
  <si>
    <t>ORD-7318</t>
  </si>
  <si>
    <t>ORD-7319</t>
  </si>
  <si>
    <t>ORD-7320</t>
  </si>
  <si>
    <t>ORD-7321</t>
  </si>
  <si>
    <t>ORD-7322</t>
  </si>
  <si>
    <t>ORD-7323</t>
  </si>
  <si>
    <t>ORD-7324</t>
  </si>
  <si>
    <t>ORD-7325</t>
  </si>
  <si>
    <t>ORD-7326</t>
  </si>
  <si>
    <t>ORD-7327</t>
  </si>
  <si>
    <t>ORD-7328</t>
  </si>
  <si>
    <t>ORD-7329</t>
  </si>
  <si>
    <t>ORD-7330</t>
  </si>
  <si>
    <t>ORD-7331</t>
  </si>
  <si>
    <t>ORD-7332</t>
  </si>
  <si>
    <t>ORD-7333</t>
  </si>
  <si>
    <t>ORD-7334</t>
  </si>
  <si>
    <t>ORD-7335</t>
  </si>
  <si>
    <t>ORD-7336</t>
  </si>
  <si>
    <t>ORD-7337</t>
  </si>
  <si>
    <t>ORD-7338</t>
  </si>
  <si>
    <t>ORD-7339</t>
  </si>
  <si>
    <t>ORD-7340</t>
  </si>
  <si>
    <t>ORD-7341</t>
  </si>
  <si>
    <t>ORD-7342</t>
  </si>
  <si>
    <t>ORD-7343</t>
  </si>
  <si>
    <t>ORD-7344</t>
  </si>
  <si>
    <t>ORD-7345</t>
  </si>
  <si>
    <t>ORD-7346</t>
  </si>
  <si>
    <t>ORD-7347</t>
  </si>
  <si>
    <t>ORD-7348</t>
  </si>
  <si>
    <t>ORD-7349</t>
  </si>
  <si>
    <t>ORD-7350</t>
  </si>
  <si>
    <t>ORD-7351</t>
  </si>
  <si>
    <t>ORD-7352</t>
  </si>
  <si>
    <t>ORD-7353</t>
  </si>
  <si>
    <t>ORD-7354</t>
  </si>
  <si>
    <t>ORD-7355</t>
  </si>
  <si>
    <t>ORD-7356</t>
  </si>
  <si>
    <t>ORD-7357</t>
  </si>
  <si>
    <t>ORD-7358</t>
  </si>
  <si>
    <t>ORD-7359</t>
  </si>
  <si>
    <t>ORD-7360</t>
  </si>
  <si>
    <t>ORD-7361</t>
  </si>
  <si>
    <t>ORD-7362</t>
  </si>
  <si>
    <t>ORD-7363</t>
  </si>
  <si>
    <t>ORD-7364</t>
  </si>
  <si>
    <t>ORD-7365</t>
  </si>
  <si>
    <t>ORD-7366</t>
  </si>
  <si>
    <t>ORD-7367</t>
  </si>
  <si>
    <t>ORD-7368</t>
  </si>
  <si>
    <t>ORD-7369</t>
  </si>
  <si>
    <t>ORD-7370</t>
  </si>
  <si>
    <t>ORD-7371</t>
  </si>
  <si>
    <t>ORD-7372</t>
  </si>
  <si>
    <t>ORD-7373</t>
  </si>
  <si>
    <t>ORD-7374</t>
  </si>
  <si>
    <t>ORD-7375</t>
  </si>
  <si>
    <t>ORD-7376</t>
  </si>
  <si>
    <t>ORD-7377</t>
  </si>
  <si>
    <t>ORD-7378</t>
  </si>
  <si>
    <t>ORD-7379</t>
  </si>
  <si>
    <t>ORD-7380</t>
  </si>
  <si>
    <t>ORD-7381</t>
  </si>
  <si>
    <t>ORD-7382</t>
  </si>
  <si>
    <t>ORD-7383</t>
  </si>
  <si>
    <t>ORD-7384</t>
  </si>
  <si>
    <t>ORD-7385</t>
  </si>
  <si>
    <t>ORD-7386</t>
  </si>
  <si>
    <t>ORD-7387</t>
  </si>
  <si>
    <t>ORD-7388</t>
  </si>
  <si>
    <t>ORD-7389</t>
  </si>
  <si>
    <t>ORD-7390</t>
  </si>
  <si>
    <t>ORD-7391</t>
  </si>
  <si>
    <t>ORD-7392</t>
  </si>
  <si>
    <t>ORD-7393</t>
  </si>
  <si>
    <t>ORD-7394</t>
  </si>
  <si>
    <t>ORD-7395</t>
  </si>
  <si>
    <t>ORD-7396</t>
  </si>
  <si>
    <t>ORD-7397</t>
  </si>
  <si>
    <t>ORD-7398</t>
  </si>
  <si>
    <t>ORD-7399</t>
  </si>
  <si>
    <t>ORD-7400</t>
  </si>
  <si>
    <t>ORD-7401</t>
  </si>
  <si>
    <t>ORD-7402</t>
  </si>
  <si>
    <t>ORD-7403</t>
  </si>
  <si>
    <t>ORD-7404</t>
  </si>
  <si>
    <t>ORD-7405</t>
  </si>
  <si>
    <t>ORD-7406</t>
  </si>
  <si>
    <t>ORD-7407</t>
  </si>
  <si>
    <t>ORD-7408</t>
  </si>
  <si>
    <t>ORD-7409</t>
  </si>
  <si>
    <t>ORD-7410</t>
  </si>
  <si>
    <t>ORD-7411</t>
  </si>
  <si>
    <t>ORD-7412</t>
  </si>
  <si>
    <t>ORD-7413</t>
  </si>
  <si>
    <t>ORD-7414</t>
  </si>
  <si>
    <t>ORD-7415</t>
  </si>
  <si>
    <t>ORD-7416</t>
  </si>
  <si>
    <t>ORD-7417</t>
  </si>
  <si>
    <t>ORD-7418</t>
  </si>
  <si>
    <t>ORD-7419</t>
  </si>
  <si>
    <t>ORD-7420</t>
  </si>
  <si>
    <t>ORD-7421</t>
  </si>
  <si>
    <t>ORD-7422</t>
  </si>
  <si>
    <t>ORD-7423</t>
  </si>
  <si>
    <t>ORD-7424</t>
  </si>
  <si>
    <t>ORD-7425</t>
  </si>
  <si>
    <t>ORD-7426</t>
  </si>
  <si>
    <t>ORD-7427</t>
  </si>
  <si>
    <t>ORD-7428</t>
  </si>
  <si>
    <t>ORD-7429</t>
  </si>
  <si>
    <t>ORD-7430</t>
  </si>
  <si>
    <t>ORD-7431</t>
  </si>
  <si>
    <t>ORD-7432</t>
  </si>
  <si>
    <t>ORD-7433</t>
  </si>
  <si>
    <t>ORD-7434</t>
  </si>
  <si>
    <t>ORD-7435</t>
  </si>
  <si>
    <t>ORD-7436</t>
  </si>
  <si>
    <t>ORD-7437</t>
  </si>
  <si>
    <t>ORD-7438</t>
  </si>
  <si>
    <t>ORD-7439</t>
  </si>
  <si>
    <t>ORD-7440</t>
  </si>
  <si>
    <t>ORD-7441</t>
  </si>
  <si>
    <t>ORD-7442</t>
  </si>
  <si>
    <t>ORD-7443</t>
  </si>
  <si>
    <t>ORD-7444</t>
  </si>
  <si>
    <t>ORD-7445</t>
  </si>
  <si>
    <t>ORD-7446</t>
  </si>
  <si>
    <t>ORD-7447</t>
  </si>
  <si>
    <t>ORD-7448</t>
  </si>
  <si>
    <t>ORD-7449</t>
  </si>
  <si>
    <t>ORD-7450</t>
  </si>
  <si>
    <t>ORD-7451</t>
  </si>
  <si>
    <t>ORD-7452</t>
  </si>
  <si>
    <t>ORD-7453</t>
  </si>
  <si>
    <t>ORD-7454</t>
  </si>
  <si>
    <t>ORD-7455</t>
  </si>
  <si>
    <t>ORD-7456</t>
  </si>
  <si>
    <t>ORD-7457</t>
  </si>
  <si>
    <t>ORD-7458</t>
  </si>
  <si>
    <t>ORD-7459</t>
  </si>
  <si>
    <t>ORD-7460</t>
  </si>
  <si>
    <t>ORD-7461</t>
  </si>
  <si>
    <t>ORD-7462</t>
  </si>
  <si>
    <t>ORD-7463</t>
  </si>
  <si>
    <t>ORD-7464</t>
  </si>
  <si>
    <t>ORD-7465</t>
  </si>
  <si>
    <t>ORD-7466</t>
  </si>
  <si>
    <t>ORD-7467</t>
  </si>
  <si>
    <t>ORD-7468</t>
  </si>
  <si>
    <t>ORD-7469</t>
  </si>
  <si>
    <t>ORD-7470</t>
  </si>
  <si>
    <t>ORD-7471</t>
  </si>
  <si>
    <t>ORD-7472</t>
  </si>
  <si>
    <t>ORD-7473</t>
  </si>
  <si>
    <t>ORD-7474</t>
  </si>
  <si>
    <t>ORD-7475</t>
  </si>
  <si>
    <t>ORD-7476</t>
  </si>
  <si>
    <t>ORD-7477</t>
  </si>
  <si>
    <t>ORD-7478</t>
  </si>
  <si>
    <t>ORD-7479</t>
  </si>
  <si>
    <t>ORD-7480</t>
  </si>
  <si>
    <t>ORD-7481</t>
  </si>
  <si>
    <t>ORD-7482</t>
  </si>
  <si>
    <t>ORD-7483</t>
  </si>
  <si>
    <t>ORD-7484</t>
  </si>
  <si>
    <t>ORD-7485</t>
  </si>
  <si>
    <t>ORD-7486</t>
  </si>
  <si>
    <t>ORD-7487</t>
  </si>
  <si>
    <t>ORD-7488</t>
  </si>
  <si>
    <t>ORD-7489</t>
  </si>
  <si>
    <t>ORD-7490</t>
  </si>
  <si>
    <t>ORD-7491</t>
  </si>
  <si>
    <t>ORD-7492</t>
  </si>
  <si>
    <t>ORD-7493</t>
  </si>
  <si>
    <t>ORD-7494</t>
  </si>
  <si>
    <t>ORD-7495</t>
  </si>
  <si>
    <t>ORD-7496</t>
  </si>
  <si>
    <t>ORD-7497</t>
  </si>
  <si>
    <t>ORD-7498</t>
  </si>
  <si>
    <t>ORD-7499</t>
  </si>
  <si>
    <t>ORD-7500</t>
  </si>
  <si>
    <t>ORD-7501</t>
  </si>
  <si>
    <t>ORD-7502</t>
  </si>
  <si>
    <t>ORD-7503</t>
  </si>
  <si>
    <t>ORD-7504</t>
  </si>
  <si>
    <t>ORD-7505</t>
  </si>
  <si>
    <t>ORD-7506</t>
  </si>
  <si>
    <t>ORD-7507</t>
  </si>
  <si>
    <t>ORD-7508</t>
  </si>
  <si>
    <t>ORD-7509</t>
  </si>
  <si>
    <t>ORD-7510</t>
  </si>
  <si>
    <t>ORD-7511</t>
  </si>
  <si>
    <t>ORD-7512</t>
  </si>
  <si>
    <t>ORD-7513</t>
  </si>
  <si>
    <t>ORD-7514</t>
  </si>
  <si>
    <t>ORD-7515</t>
  </si>
  <si>
    <t>ORD-7516</t>
  </si>
  <si>
    <t>ORD-7517</t>
  </si>
  <si>
    <t>ORD-7518</t>
  </si>
  <si>
    <t>ORD-7519</t>
  </si>
  <si>
    <t>ORD-7520</t>
  </si>
  <si>
    <t>ORD-7521</t>
  </si>
  <si>
    <t>ORD-7522</t>
  </si>
  <si>
    <t>ORD-7523</t>
  </si>
  <si>
    <t>ORD-7524</t>
  </si>
  <si>
    <t>ORD-7525</t>
  </si>
  <si>
    <t>ORD-7526</t>
  </si>
  <si>
    <t>ORD-7527</t>
  </si>
  <si>
    <t>ORD-7528</t>
  </si>
  <si>
    <t>ORD-7529</t>
  </si>
  <si>
    <t>ORD-7530</t>
  </si>
  <si>
    <t>ORD-7531</t>
  </si>
  <si>
    <t>ORD-7532</t>
  </si>
  <si>
    <t>ORD-7533</t>
  </si>
  <si>
    <t>ORD-7534</t>
  </si>
  <si>
    <t>ORD-7535</t>
  </si>
  <si>
    <t>ORD-7536</t>
  </si>
  <si>
    <t>ORD-7537</t>
  </si>
  <si>
    <t>ORD-7538</t>
  </si>
  <si>
    <t>ORD-7539</t>
  </si>
  <si>
    <t>ORD-7540</t>
  </si>
  <si>
    <t>ORD-7541</t>
  </si>
  <si>
    <t>ORD-7542</t>
  </si>
  <si>
    <t>ORD-7543</t>
  </si>
  <si>
    <t>ORD-7544</t>
  </si>
  <si>
    <t>ORD-7545</t>
  </si>
  <si>
    <t>ORD-7546</t>
  </si>
  <si>
    <t>ORD-7547</t>
  </si>
  <si>
    <t>ORD-7548</t>
  </si>
  <si>
    <t>ORD-7549</t>
  </si>
  <si>
    <t>ORD-7550</t>
  </si>
  <si>
    <t>ORD-7551</t>
  </si>
  <si>
    <t>ORD-7552</t>
  </si>
  <si>
    <t>ORD-7553</t>
  </si>
  <si>
    <t>ORD-7554</t>
  </si>
  <si>
    <t>ORD-7555</t>
  </si>
  <si>
    <t>ORD-7556</t>
  </si>
  <si>
    <t>ORD-7557</t>
  </si>
  <si>
    <t>ORD-7558</t>
  </si>
  <si>
    <t>ORD-7559</t>
  </si>
  <si>
    <t>ORD-7560</t>
  </si>
  <si>
    <t>ORD-7561</t>
  </si>
  <si>
    <t>ORD-7562</t>
  </si>
  <si>
    <t>ORD-7563</t>
  </si>
  <si>
    <t>ORD-7564</t>
  </si>
  <si>
    <t>ORD-7565</t>
  </si>
  <si>
    <t>ORD-7566</t>
  </si>
  <si>
    <t>ORD-7567</t>
  </si>
  <si>
    <t>ORD-7568</t>
  </si>
  <si>
    <t>ORD-7569</t>
  </si>
  <si>
    <t>ORD-7570</t>
  </si>
  <si>
    <t>ORD-7571</t>
  </si>
  <si>
    <t>ORD-7572</t>
  </si>
  <si>
    <t>ORD-7573</t>
  </si>
  <si>
    <t>ORD-7574</t>
  </si>
  <si>
    <t>ORD-7575</t>
  </si>
  <si>
    <t>ORD-7576</t>
  </si>
  <si>
    <t>ORD-7577</t>
  </si>
  <si>
    <t>ORD-7578</t>
  </si>
  <si>
    <t>ORD-7579</t>
  </si>
  <si>
    <t>ORD-7580</t>
  </si>
  <si>
    <t>ORD-7581</t>
  </si>
  <si>
    <t>ORD-7582</t>
  </si>
  <si>
    <t>ORD-7583</t>
  </si>
  <si>
    <t>ORD-7584</t>
  </si>
  <si>
    <t>ORD-7585</t>
  </si>
  <si>
    <t>ORD-7586</t>
  </si>
  <si>
    <t>ORD-7587</t>
  </si>
  <si>
    <t>ORD-7588</t>
  </si>
  <si>
    <t>ORD-7589</t>
  </si>
  <si>
    <t>ORD-7590</t>
  </si>
  <si>
    <t>ORD-7591</t>
  </si>
  <si>
    <t>ORD-7592</t>
  </si>
  <si>
    <t>ORD-7593</t>
  </si>
  <si>
    <t>ORD-7594</t>
  </si>
  <si>
    <t>ORD-7595</t>
  </si>
  <si>
    <t>ORD-7596</t>
  </si>
  <si>
    <t>ORD-7597</t>
  </si>
  <si>
    <t>ORD-7598</t>
  </si>
  <si>
    <t>ORD-7599</t>
  </si>
  <si>
    <t>ORD-7600</t>
  </si>
  <si>
    <t>ORD-7601</t>
  </si>
  <si>
    <t>ORD-7602</t>
  </si>
  <si>
    <t>ORD-7603</t>
  </si>
  <si>
    <t>ORD-7604</t>
  </si>
  <si>
    <t>ORD-7605</t>
  </si>
  <si>
    <t>ORD-7606</t>
  </si>
  <si>
    <t>ORD-7607</t>
  </si>
  <si>
    <t>ORD-7608</t>
  </si>
  <si>
    <t>ORD-7609</t>
  </si>
  <si>
    <t>ORD-7610</t>
  </si>
  <si>
    <t>ORD-7611</t>
  </si>
  <si>
    <t>ORD-7612</t>
  </si>
  <si>
    <t>ORD-7613</t>
  </si>
  <si>
    <t>ORD-7614</t>
  </si>
  <si>
    <t>ORD-7615</t>
  </si>
  <si>
    <t>ORD-7616</t>
  </si>
  <si>
    <t>ORD-7617</t>
  </si>
  <si>
    <t>ORD-7618</t>
  </si>
  <si>
    <t>ORD-7619</t>
  </si>
  <si>
    <t>ORD-7620</t>
  </si>
  <si>
    <t>ORD-7621</t>
  </si>
  <si>
    <t>ORD-7622</t>
  </si>
  <si>
    <t>ORD-7623</t>
  </si>
  <si>
    <t>ORD-7624</t>
  </si>
  <si>
    <t>ORD-7625</t>
  </si>
  <si>
    <t>ORD-7626</t>
  </si>
  <si>
    <t>ORD-7627</t>
  </si>
  <si>
    <t>ORD-7628</t>
  </si>
  <si>
    <t>ORD-7629</t>
  </si>
  <si>
    <t>ORD-7630</t>
  </si>
  <si>
    <t>ORD-7631</t>
  </si>
  <si>
    <t>ORD-7632</t>
  </si>
  <si>
    <t>ORD-7633</t>
  </si>
  <si>
    <t>ORD-7634</t>
  </si>
  <si>
    <t>ORD-7635</t>
  </si>
  <si>
    <t>ORD-7636</t>
  </si>
  <si>
    <t>ORD-7637</t>
  </si>
  <si>
    <t>ORD-7638</t>
  </si>
  <si>
    <t>ORD-7639</t>
  </si>
  <si>
    <t>ORD-7640</t>
  </si>
  <si>
    <t>ORD-7641</t>
  </si>
  <si>
    <t>ORD-7642</t>
  </si>
  <si>
    <t>ORD-7643</t>
  </si>
  <si>
    <t>ORD-7644</t>
  </si>
  <si>
    <t>ORD-7645</t>
  </si>
  <si>
    <t>ORD-7646</t>
  </si>
  <si>
    <t>ORD-7647</t>
  </si>
  <si>
    <t>ORD-7648</t>
  </si>
  <si>
    <t>ORD-7649</t>
  </si>
  <si>
    <t>ORD-7650</t>
  </si>
  <si>
    <t>ORD-7651</t>
  </si>
  <si>
    <t>ORD-7652</t>
  </si>
  <si>
    <t>ORD-7653</t>
  </si>
  <si>
    <t>ORD-7654</t>
  </si>
  <si>
    <t>ORD-7655</t>
  </si>
  <si>
    <t>ORD-7656</t>
  </si>
  <si>
    <t>ORD-7657</t>
  </si>
  <si>
    <t>ORD-7658</t>
  </si>
  <si>
    <t>ORD-7659</t>
  </si>
  <si>
    <t>ORD-7660</t>
  </si>
  <si>
    <t>ORD-7661</t>
  </si>
  <si>
    <t>ORD-7662</t>
  </si>
  <si>
    <t>ORD-7663</t>
  </si>
  <si>
    <t>ORD-7664</t>
  </si>
  <si>
    <t>ORD-7665</t>
  </si>
  <si>
    <t>ORD-7666</t>
  </si>
  <si>
    <t>ORD-7667</t>
  </si>
  <si>
    <t>ORD-7668</t>
  </si>
  <si>
    <t>ORD-7669</t>
  </si>
  <si>
    <t>ORD-7670</t>
  </si>
  <si>
    <t>ORD-7671</t>
  </si>
  <si>
    <t>ORD-7672</t>
  </si>
  <si>
    <t>ORD-7673</t>
  </si>
  <si>
    <t>ORD-7674</t>
  </si>
  <si>
    <t>ORD-7675</t>
  </si>
  <si>
    <t>ORD-7676</t>
  </si>
  <si>
    <t>ORD-7677</t>
  </si>
  <si>
    <t>ORD-7678</t>
  </si>
  <si>
    <t>ORD-7679</t>
  </si>
  <si>
    <t>ORD-7680</t>
  </si>
  <si>
    <t>ORD-7681</t>
  </si>
  <si>
    <t>ORD-7682</t>
  </si>
  <si>
    <t>ORD-7683</t>
  </si>
  <si>
    <t>ORD-7684</t>
  </si>
  <si>
    <t>ORD-7685</t>
  </si>
  <si>
    <t>ORD-7686</t>
  </si>
  <si>
    <t>ORD-7687</t>
  </si>
  <si>
    <t>ORD-7688</t>
  </si>
  <si>
    <t>ORD-7689</t>
  </si>
  <si>
    <t>ORD-7690</t>
  </si>
  <si>
    <t>ORD-7691</t>
  </si>
  <si>
    <t>ORD-7692</t>
  </si>
  <si>
    <t>ORD-7693</t>
  </si>
  <si>
    <t>ORD-7694</t>
  </si>
  <si>
    <t>ORD-7695</t>
  </si>
  <si>
    <t>ORD-7696</t>
  </si>
  <si>
    <t>ORD-7697</t>
  </si>
  <si>
    <t>ORD-7698</t>
  </si>
  <si>
    <t>ORD-7699</t>
  </si>
  <si>
    <t>ORD-7700</t>
  </si>
  <si>
    <t>ORD-7701</t>
  </si>
  <si>
    <t>ORD-7702</t>
  </si>
  <si>
    <t>ORD-7703</t>
  </si>
  <si>
    <t>ORD-7704</t>
  </si>
  <si>
    <t>ORD-7705</t>
  </si>
  <si>
    <t>ORD-7706</t>
  </si>
  <si>
    <t>ORD-7707</t>
  </si>
  <si>
    <t>ORD-7708</t>
  </si>
  <si>
    <t>ORD-7709</t>
  </si>
  <si>
    <t>ORD-7710</t>
  </si>
  <si>
    <t>ORD-7711</t>
  </si>
  <si>
    <t>ORD-7712</t>
  </si>
  <si>
    <t>ORD-7713</t>
  </si>
  <si>
    <t>ORD-7714</t>
  </si>
  <si>
    <t>ORD-7715</t>
  </si>
  <si>
    <t>ORD-7716</t>
  </si>
  <si>
    <t>ORD-7717</t>
  </si>
  <si>
    <t>ORD-7718</t>
  </si>
  <si>
    <t>ORD-7719</t>
  </si>
  <si>
    <t>ORD-7720</t>
  </si>
  <si>
    <t>ORD-7721</t>
  </si>
  <si>
    <t>ORD-7722</t>
  </si>
  <si>
    <t>ORD-7723</t>
  </si>
  <si>
    <t>ORD-7724</t>
  </si>
  <si>
    <t>ORD-7725</t>
  </si>
  <si>
    <t>ORD-7726</t>
  </si>
  <si>
    <t>ORD-7727</t>
  </si>
  <si>
    <t>ORD-7728</t>
  </si>
  <si>
    <t>ORD-7729</t>
  </si>
  <si>
    <t>ORD-7730</t>
  </si>
  <si>
    <t>ORD-7731</t>
  </si>
  <si>
    <t>ORD-7732</t>
  </si>
  <si>
    <t>ORD-7733</t>
  </si>
  <si>
    <t>ORD-7734</t>
  </si>
  <si>
    <t>ORD-7735</t>
  </si>
  <si>
    <t>ORD-7736</t>
  </si>
  <si>
    <t>ORD-7737</t>
  </si>
  <si>
    <t>ORD-7738</t>
  </si>
  <si>
    <t>ORD-7739</t>
  </si>
  <si>
    <t>ORD-7740</t>
  </si>
  <si>
    <t>ORD-7741</t>
  </si>
  <si>
    <t>ORD-7742</t>
  </si>
  <si>
    <t>ORD-7743</t>
  </si>
  <si>
    <t>ORD-7744</t>
  </si>
  <si>
    <t>ORD-7745</t>
  </si>
  <si>
    <t>ORD-7746</t>
  </si>
  <si>
    <t>ORD-7747</t>
  </si>
  <si>
    <t>ORD-7748</t>
  </si>
  <si>
    <t>ORD-7749</t>
  </si>
  <si>
    <t>ORD-7750</t>
  </si>
  <si>
    <t>ORD-7751</t>
  </si>
  <si>
    <t>ORD-7752</t>
  </si>
  <si>
    <t>ORD-7753</t>
  </si>
  <si>
    <t>ORD-7754</t>
  </si>
  <si>
    <t>ORD-7755</t>
  </si>
  <si>
    <t>ORD-7756</t>
  </si>
  <si>
    <t>ORD-7757</t>
  </si>
  <si>
    <t>ORD-7758</t>
  </si>
  <si>
    <t>ORD-7759</t>
  </si>
  <si>
    <t>ORD-7760</t>
  </si>
  <si>
    <t>ORD-7761</t>
  </si>
  <si>
    <t>ORD-7762</t>
  </si>
  <si>
    <t>ORD-7763</t>
  </si>
  <si>
    <t>ORD-7764</t>
  </si>
  <si>
    <t>ORD-7765</t>
  </si>
  <si>
    <t>ORD-7766</t>
  </si>
  <si>
    <t>ORD-7767</t>
  </si>
  <si>
    <t>ORD-7768</t>
  </si>
  <si>
    <t>ORD-7769</t>
  </si>
  <si>
    <t>ORD-7770</t>
  </si>
  <si>
    <t>ORD-7771</t>
  </si>
  <si>
    <t>ORD-7772</t>
  </si>
  <si>
    <t>ORD-7773</t>
  </si>
  <si>
    <t>ORD-7774</t>
  </si>
  <si>
    <t>ORD-7775</t>
  </si>
  <si>
    <t>ORD-7776</t>
  </si>
  <si>
    <t>ORD-7777</t>
  </si>
  <si>
    <t>ORD-7778</t>
  </si>
  <si>
    <t>ORD-7779</t>
  </si>
  <si>
    <t>ORD-7780</t>
  </si>
  <si>
    <t>ORD-7781</t>
  </si>
  <si>
    <t>ORD-7782</t>
  </si>
  <si>
    <t>ORD-7783</t>
  </si>
  <si>
    <t>ORD-7784</t>
  </si>
  <si>
    <t>ORD-7785</t>
  </si>
  <si>
    <t>ORD-7786</t>
  </si>
  <si>
    <t>ORD-7787</t>
  </si>
  <si>
    <t>ORD-7788</t>
  </si>
  <si>
    <t>ORD-7789</t>
  </si>
  <si>
    <t>ORD-7790</t>
  </si>
  <si>
    <t>ORD-7791</t>
  </si>
  <si>
    <t>ORD-7792</t>
  </si>
  <si>
    <t>ORD-7793</t>
  </si>
  <si>
    <t>ORD-7794</t>
  </si>
  <si>
    <t>ORD-7795</t>
  </si>
  <si>
    <t>ORD-7796</t>
  </si>
  <si>
    <t>ORD-7797</t>
  </si>
  <si>
    <t>ORD-7798</t>
  </si>
  <si>
    <t>ORD-7799</t>
  </si>
  <si>
    <t>Objective: Build a simple Interactive Sales Dashboard</t>
  </si>
  <si>
    <r>
      <t xml:space="preserve">Create Relationship: connect [Product ID] from Products to [Product ID] from Sales. </t>
    </r>
    <r>
      <rPr>
        <sz val="11"/>
        <color rgb="FFC00000"/>
        <rFont val="Calibri"/>
        <family val="2"/>
        <scheme val="minor"/>
      </rPr>
      <t>(XLOOKUP)</t>
    </r>
  </si>
  <si>
    <r>
      <t xml:space="preserve">Pivot Tables &amp; Charts: Create the </t>
    </r>
    <r>
      <rPr>
        <sz val="11"/>
        <color rgb="FFC00000"/>
        <rFont val="Calibri"/>
        <family val="2"/>
        <scheme val="minor"/>
      </rPr>
      <t>4</t>
    </r>
    <r>
      <rPr>
        <sz val="11"/>
        <color theme="1"/>
        <rFont val="Calibri"/>
        <family val="2"/>
        <scheme val="minor"/>
      </rPr>
      <t xml:space="preserve"> required analytical charts on hidden sheets.</t>
    </r>
  </si>
  <si>
    <r>
      <t>Dashboard Design: Move all charts to the '</t>
    </r>
    <r>
      <rPr>
        <sz val="11"/>
        <color rgb="FFC00000"/>
        <rFont val="Calibri"/>
        <family val="2"/>
        <scheme val="minor"/>
      </rPr>
      <t>Dashboard</t>
    </r>
    <r>
      <rPr>
        <sz val="11"/>
        <color theme="1"/>
        <rFont val="Calibri"/>
        <family val="2"/>
        <scheme val="minor"/>
      </rPr>
      <t>' sheet, insert</t>
    </r>
    <r>
      <rPr>
        <sz val="11"/>
        <color rgb="FFC00000"/>
        <rFont val="Calibri"/>
        <family val="2"/>
        <scheme val="minor"/>
      </rPr>
      <t xml:space="preserve"> Slicers</t>
    </r>
    <r>
      <rPr>
        <sz val="11"/>
        <color theme="1"/>
        <rFont val="Calibri"/>
        <family val="2"/>
        <scheme val="minor"/>
      </rPr>
      <t xml:space="preserve">, and connect them using </t>
    </r>
    <r>
      <rPr>
        <b/>
        <sz val="11"/>
        <color theme="1"/>
        <rFont val="Calibri"/>
        <family val="2"/>
        <scheme val="minor"/>
      </rPr>
      <t>Report Connections</t>
    </r>
    <r>
      <rPr>
        <sz val="11"/>
        <color theme="1"/>
        <rFont val="Calibri"/>
        <family val="2"/>
        <scheme val="minor"/>
      </rPr>
      <t>.</t>
    </r>
  </si>
  <si>
    <t xml:space="preserve">Total Revenue </t>
  </si>
  <si>
    <t xml:space="preserve">Total Orders </t>
  </si>
  <si>
    <r>
      <t xml:space="preserve">What is the </t>
    </r>
    <r>
      <rPr>
        <b/>
        <sz val="11"/>
        <color rgb="FFFF0000"/>
        <rFont val="Calibri"/>
        <family val="2"/>
        <scheme val="minor"/>
      </rPr>
      <t xml:space="preserve">Total Revenue </t>
    </r>
    <r>
      <rPr>
        <b/>
        <sz val="11"/>
        <color rgb="FF000000"/>
        <rFont val="Calibri"/>
        <family val="2"/>
        <scheme val="minor"/>
      </rPr>
      <t xml:space="preserve">&amp; </t>
    </r>
    <r>
      <rPr>
        <b/>
        <sz val="11"/>
        <color rgb="FFFF0000"/>
        <rFont val="Calibri"/>
        <family val="2"/>
        <scheme val="minor"/>
      </rPr>
      <t xml:space="preserve">Total Orders </t>
    </r>
    <r>
      <rPr>
        <b/>
        <sz val="11"/>
        <color rgb="FF000000"/>
        <rFont val="Calibri"/>
        <family val="2"/>
        <scheme val="minor"/>
      </rPr>
      <t>Trend over time (</t>
    </r>
    <r>
      <rPr>
        <b/>
        <sz val="11"/>
        <color rgb="FFFF0000"/>
        <rFont val="Calibri"/>
        <family val="2"/>
        <scheme val="minor"/>
      </rPr>
      <t>Monthly</t>
    </r>
    <r>
      <rPr>
        <b/>
        <sz val="11"/>
        <color rgb="FF000000"/>
        <rFont val="Calibri"/>
        <family val="2"/>
        <scheme val="minor"/>
      </rPr>
      <t xml:space="preserve"> Analysis)?</t>
    </r>
  </si>
  <si>
    <r>
      <t xml:space="preserve">Which </t>
    </r>
    <r>
      <rPr>
        <b/>
        <sz val="11"/>
        <color rgb="FFFF0000"/>
        <rFont val="Calibri"/>
        <family val="2"/>
        <scheme val="minor"/>
      </rPr>
      <t xml:space="preserve">Product Categories </t>
    </r>
    <r>
      <rPr>
        <b/>
        <sz val="11"/>
        <color rgb="FF000000"/>
        <rFont val="Calibri"/>
        <family val="2"/>
        <scheme val="minor"/>
      </rPr>
      <t xml:space="preserve">are generating the highest </t>
    </r>
    <r>
      <rPr>
        <b/>
        <sz val="11"/>
        <color rgb="FFFF0000"/>
        <rFont val="Calibri"/>
        <family val="2"/>
        <scheme val="minor"/>
      </rPr>
      <t>revenue</t>
    </r>
    <r>
      <rPr>
        <b/>
        <sz val="11"/>
        <color rgb="FF000000"/>
        <rFont val="Calibri"/>
        <family val="2"/>
        <scheme val="minor"/>
      </rPr>
      <t>?</t>
    </r>
  </si>
  <si>
    <r>
      <t xml:space="preserve">Who are the </t>
    </r>
    <r>
      <rPr>
        <b/>
        <sz val="11"/>
        <color rgb="FFFF0000"/>
        <rFont val="Calibri"/>
        <family val="2"/>
        <scheme val="minor"/>
      </rPr>
      <t>Top 5</t>
    </r>
    <r>
      <rPr>
        <b/>
        <sz val="11"/>
        <color rgb="FF000000"/>
        <rFont val="Calibri"/>
        <family val="2"/>
        <scheme val="minor"/>
      </rPr>
      <t xml:space="preserve"> </t>
    </r>
    <r>
      <rPr>
        <b/>
        <sz val="11"/>
        <color rgb="FFFF0000"/>
        <rFont val="Calibri"/>
        <family val="2"/>
        <scheme val="minor"/>
      </rPr>
      <t>Salesmen</t>
    </r>
    <r>
      <rPr>
        <b/>
        <sz val="11"/>
        <color rgb="FF000000"/>
        <rFont val="Calibri"/>
        <family val="2"/>
        <scheme val="minor"/>
      </rPr>
      <t xml:space="preserve"> based on </t>
    </r>
    <r>
      <rPr>
        <b/>
        <sz val="11"/>
        <color rgb="FFFF0000"/>
        <rFont val="Calibri"/>
        <family val="2"/>
        <scheme val="minor"/>
      </rPr>
      <t>performance</t>
    </r>
    <r>
      <rPr>
        <b/>
        <sz val="11"/>
        <color rgb="FF000000"/>
        <rFont val="Calibri"/>
        <family val="2"/>
        <scheme val="minor"/>
      </rPr>
      <t>?</t>
    </r>
  </si>
  <si>
    <r>
      <t xml:space="preserve">How is </t>
    </r>
    <r>
      <rPr>
        <b/>
        <sz val="11"/>
        <color rgb="FFFF0000"/>
        <rFont val="Calibri"/>
        <family val="2"/>
        <scheme val="minor"/>
      </rPr>
      <t>revenue</t>
    </r>
    <r>
      <rPr>
        <b/>
        <sz val="11"/>
        <color rgb="FF000000"/>
        <rFont val="Calibri"/>
        <family val="2"/>
        <scheme val="minor"/>
      </rPr>
      <t xml:space="preserve"> distributed across different Sales </t>
    </r>
    <r>
      <rPr>
        <b/>
        <sz val="11"/>
        <color rgb="FFFF0000"/>
        <rFont val="Calibri"/>
        <family val="2"/>
        <scheme val="minor"/>
      </rPr>
      <t>Regions</t>
    </r>
    <r>
      <rPr>
        <b/>
        <sz val="11"/>
        <color rgb="FF000000"/>
        <rFont val="Calibri"/>
        <family val="2"/>
        <scheme val="minor"/>
      </rPr>
      <t>?</t>
    </r>
  </si>
  <si>
    <t>Row Labels</t>
  </si>
  <si>
    <t>Grand Total</t>
  </si>
  <si>
    <t xml:space="preserve">Sum of Total Revenue </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</si>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</sst>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b/>
      <sz val="11"/>
      <color theme="1"/>
      <name val="Calibri"/>
      <family val="2"/>
      <scheme val="minor"/>
    </font>
    <font>
      <b/>
      <sz val="11"/>
      <color rgb="FFC00000"/>
      <name val="Calibri"/>
      <family val="2"/>
      <scheme val="minor"/>
    </font>
    <font>
      <sz val="11"/>
      <color rgb="FFC00000"/>
      <name val="Calibri"/>
      <family val="2"/>
      <scheme val="minor"/>
    </font>
    <font>
      <i/>
      <sz val="11"/>
      <color theme="1"/>
      <name val="Calibri"/>
      <family val="2"/>
      <scheme val="minor"/>
    </font>
    <font>
      <b/>
      <sz val="11"/>
      <color theme="7"/>
      <name val="Calibri"/>
      <family val="2"/>
      <scheme val="minor"/>
    </font>
    <font>
      <b/>
      <sz val="11"/>
      <color theme="7"/>
      <name val="Calibri"/>
      <family val="2"/>
    </font>
    <font>
      <b/>
      <sz val="11"/>
      <color rgb="FFFF0000"/>
      <name val="Calibri"/>
      <family val="2"/>
      <scheme val="minor"/>
    </font>
    <font>
      <b/>
      <sz val="11"/>
      <color rgb="FFFF6699"/>
      <name val="Calibri"/>
      <family val="2"/>
      <scheme val="minor"/>
    </font>
    <font>
      <b/>
      <sz val="11"/>
      <color rgb="FF000000"/>
      <name val="Calibri"/>
      <family val="2"/>
      <scheme val="minor"/>
    </font>
    <font>
      <sz val="11"/>
      <color theme="7" tint="0.59999389629810485"/>
      <name val="Calibri"/>
      <family val="2"/>
      <scheme val="minor"/>
    </font>
  </fonts>
  <fills count="3">
    <fill>
      <patternFill patternType="none"/>
    </fill>
    <fill>
      <patternFill patternType="gray125"/>
    </fill>
    <fill>
      <patternFill patternType="solid">
        <fgColor theme="7"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18">
    <xf numFmtId="0" fontId="0" fillId="0" borderId="0" xfId="0"/>
    <xf numFmtId="0" fontId="3" fillId="0" borderId="1" xfId="0" applyFont="1" applyBorder="1" applyAlignment="1">
      <alignment horizontal="center" vertical="top"/>
    </xf>
    <xf numFmtId="0" fontId="4" fillId="0" borderId="0" xfId="0" applyFont="1"/>
    <xf numFmtId="0" fontId="6" fillId="0" borderId="0" xfId="0" applyFont="1"/>
    <xf numFmtId="0" fontId="2" fillId="0" borderId="0" xfId="0" applyFont="1"/>
    <xf numFmtId="0" fontId="8" fillId="0" borderId="0" xfId="0" applyFont="1"/>
    <xf numFmtId="0" fontId="9" fillId="0" borderId="0" xfId="0" applyFont="1"/>
    <xf numFmtId="0" fontId="10" fillId="0" borderId="2" xfId="0" applyFont="1" applyFill="1" applyBorder="1" applyAlignment="1">
      <alignment horizontal="center" vertical="top"/>
    </xf>
    <xf numFmtId="0" fontId="12" fillId="0" borderId="0" xfId="0" applyFont="1"/>
    <xf numFmtId="0" fontId="13" fillId="0" borderId="0" xfId="0" applyFont="1" applyAlignment="1"/>
    <xf numFmtId="0" fontId="13" fillId="0" borderId="0" xfId="0" applyFont="1" applyAlignment="1">
      <alignment horizontal="left" vertical="center" readingOrder="1"/>
    </xf>
    <xf numFmtId="0" fontId="0" fillId="0" borderId="0" xfId="0" pivotButton="1"/>
    <xf numFmtId="0" fontId="0" fillId="0" borderId="0" xfId="0" applyAlignment="1">
      <alignment horizontal="left"/>
    </xf>
    <xf numFmtId="0" fontId="0" fillId="0" borderId="0" xfId="0" applyNumberFormat="1"/>
    <xf numFmtId="0" fontId="14" fillId="2" borderId="0" xfId="0" applyFont="1" applyFill="1"/>
    <xf numFmtId="0" fontId="0" fillId="2" borderId="0" xfId="0" applyFill="1"/>
    <xf numFmtId="0" fontId="5" fillId="0" borderId="0" xfId="0" applyFont="1"/>
    <xf numFmtId="0" fontId="13" fillId="0" borderId="0" xfId="0" applyFont="1" applyAlignment="1">
      <alignment horizontal="left" vertical="center" readingOrder="1"/>
    </xf>
  </cellXfs>
  <cellStyles count="1">
    <cellStyle name="Normal" xfId="0" builtinId="0"/>
  </cellStyles>
  <dxfs count="4">
    <dxf>
      <font>
        <b/>
        <i val="0"/>
        <sz val="10"/>
        <color theme="7" tint="-0.24994659260841701"/>
      </font>
      <fill>
        <patternFill>
          <bgColor theme="7" tint="-0.2499465926084170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i val="0"/>
        <sz val="10"/>
        <color theme="1"/>
      </font>
      <border diagonalUp="0" diagonalDown="0">
        <left/>
        <right/>
        <top/>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SlicerStyleLight4 2" pivot="0" table="0" count="10" xr9:uid="{E235F3FA-AAE4-49D0-94E0-628DEB69B530}">
      <tableStyleElement type="wholeTable" dxfId="3"/>
      <tableStyleElement type="headerRow" dxfId="2"/>
    </tableStyle>
    <tableStyle name="SlicerStyleLight4 3" pivot="0" table="0" count="10" xr9:uid="{F1581BEE-6B4F-49D0-9B61-14D4C6CD564A}">
      <tableStyleElement type="wholeTable" dxfId="1"/>
      <tableStyleElement type="headerRow" dxfId="0"/>
    </tableStyle>
  </tableStyles>
  <colors>
    <mruColors>
      <color rgb="FFFF66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7" tint="0.59999389629810485"/>
              <bgColor theme="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7" tint="0.59999389629810485"/>
              <bgColor theme="0" tint="-4.9989318521683403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4 3">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Lec 3 Task.xlsx]Charts!PivotTable13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accent4">
                    <a:lumMod val="75000"/>
                  </a:schemeClr>
                </a:solidFill>
              </a:rPr>
              <a:t>Highest 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Charts!$C$31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Charts!$B$32:$B$35</c:f>
              <c:strCache>
                <c:ptCount val="3"/>
                <c:pt idx="0">
                  <c:v>Electronics</c:v>
                </c:pt>
                <c:pt idx="1">
                  <c:v>Accessories</c:v>
                </c:pt>
                <c:pt idx="2">
                  <c:v>Furniture</c:v>
                </c:pt>
              </c:strCache>
            </c:strRef>
          </c:cat>
          <c:val>
            <c:numRef>
              <c:f>Charts!$C$32:$C$35</c:f>
              <c:numCache>
                <c:formatCode>General</c:formatCode>
                <c:ptCount val="3"/>
                <c:pt idx="0">
                  <c:v>455642.67999999929</c:v>
                </c:pt>
                <c:pt idx="1">
                  <c:v>93540.190000000104</c:v>
                </c:pt>
                <c:pt idx="2">
                  <c:v>62247.510000000009</c:v>
                </c:pt>
              </c:numCache>
            </c:numRef>
          </c:val>
          <c:extLst>
            <c:ext xmlns:c16="http://schemas.microsoft.com/office/drawing/2014/chart" uri="{C3380CC4-5D6E-409C-BE32-E72D297353CC}">
              <c16:uniqueId val="{00000001-B04B-4908-8C08-D6AB3DF32A3C}"/>
            </c:ext>
          </c:extLst>
        </c:ser>
        <c:dLbls>
          <c:dLblPos val="outEnd"/>
          <c:showLegendKey val="0"/>
          <c:showVal val="1"/>
          <c:showCatName val="0"/>
          <c:showSerName val="0"/>
          <c:showPercent val="0"/>
          <c:showBubbleSize val="0"/>
        </c:dLbls>
        <c:gapWidth val="219"/>
        <c:overlap val="-27"/>
        <c:axId val="574853423"/>
        <c:axId val="574858415"/>
      </c:barChart>
      <c:catAx>
        <c:axId val="574853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858415"/>
        <c:crosses val="autoZero"/>
        <c:auto val="1"/>
        <c:lblAlgn val="ctr"/>
        <c:lblOffset val="100"/>
        <c:noMultiLvlLbl val="0"/>
      </c:catAx>
      <c:valAx>
        <c:axId val="574858415"/>
        <c:scaling>
          <c:orientation val="minMax"/>
        </c:scaling>
        <c:delete val="1"/>
        <c:axPos val="l"/>
        <c:numFmt formatCode="General" sourceLinked="1"/>
        <c:majorTickMark val="none"/>
        <c:minorTickMark val="none"/>
        <c:tickLblPos val="nextTo"/>
        <c:crossAx val="57485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Lec 3 Task.xlsx]Charts!PivotTable15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4">
                    <a:lumMod val="75000"/>
                  </a:schemeClr>
                </a:solidFill>
                <a:effectLst/>
              </a:rPr>
              <a:t>Top 5 Salesmen</a:t>
            </a:r>
            <a:endParaRPr lang="en-US" b="0">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4"/>
          </a:solidFill>
          <a:ln>
            <a:noFill/>
          </a:ln>
          <a:effectLst/>
        </c:spPr>
      </c:pivotFmt>
    </c:pivotFmts>
    <c:plotArea>
      <c:layout/>
      <c:barChart>
        <c:barDir val="bar"/>
        <c:grouping val="clustered"/>
        <c:varyColors val="0"/>
        <c:ser>
          <c:idx val="0"/>
          <c:order val="0"/>
          <c:tx>
            <c:strRef>
              <c:f>Charts!$C$80</c:f>
              <c:strCache>
                <c:ptCount val="1"/>
                <c:pt idx="0">
                  <c:v>Total</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2BF2-40E7-8263-EA110A938C0E}"/>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2-D3E2-4A1F-BCC9-D7A1C196E1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Charts!$B$81:$B$86</c:f>
              <c:strCache>
                <c:ptCount val="5"/>
                <c:pt idx="0">
                  <c:v>Youssef Zayed</c:v>
                </c:pt>
                <c:pt idx="1">
                  <c:v>Arwa Mahmoud</c:v>
                </c:pt>
                <c:pt idx="2">
                  <c:v>Sara Amr</c:v>
                </c:pt>
                <c:pt idx="3">
                  <c:v>Ahmed Ali</c:v>
                </c:pt>
                <c:pt idx="4">
                  <c:v>Omar Hassan</c:v>
                </c:pt>
              </c:strCache>
            </c:strRef>
          </c:cat>
          <c:val>
            <c:numRef>
              <c:f>Charts!$C$81:$C$86</c:f>
              <c:numCache>
                <c:formatCode>General</c:formatCode>
                <c:ptCount val="5"/>
                <c:pt idx="0">
                  <c:v>126146.13000000005</c:v>
                </c:pt>
                <c:pt idx="1">
                  <c:v>124386.09000000007</c:v>
                </c:pt>
                <c:pt idx="2">
                  <c:v>123816.27</c:v>
                </c:pt>
                <c:pt idx="3">
                  <c:v>122696.23000000004</c:v>
                </c:pt>
                <c:pt idx="4">
                  <c:v>114385.66000000008</c:v>
                </c:pt>
              </c:numCache>
            </c:numRef>
          </c:val>
          <c:extLst>
            <c:ext xmlns:c16="http://schemas.microsoft.com/office/drawing/2014/chart" uri="{C3380CC4-5D6E-409C-BE32-E72D297353CC}">
              <c16:uniqueId val="{00000000-2BF2-40E7-8263-EA110A938C0E}"/>
            </c:ext>
          </c:extLst>
        </c:ser>
        <c:dLbls>
          <c:dLblPos val="outEnd"/>
          <c:showLegendKey val="0"/>
          <c:showVal val="1"/>
          <c:showCatName val="0"/>
          <c:showSerName val="0"/>
          <c:showPercent val="0"/>
          <c:showBubbleSize val="0"/>
        </c:dLbls>
        <c:gapWidth val="182"/>
        <c:axId val="574857583"/>
        <c:axId val="574851759"/>
      </c:barChart>
      <c:catAx>
        <c:axId val="5748575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851759"/>
        <c:crosses val="autoZero"/>
        <c:auto val="1"/>
        <c:lblAlgn val="ctr"/>
        <c:lblOffset val="100"/>
        <c:noMultiLvlLbl val="0"/>
      </c:catAx>
      <c:valAx>
        <c:axId val="574851759"/>
        <c:scaling>
          <c:orientation val="minMax"/>
        </c:scaling>
        <c:delete val="1"/>
        <c:axPos val="b"/>
        <c:numFmt formatCode="General" sourceLinked="1"/>
        <c:majorTickMark val="out"/>
        <c:minorTickMark val="none"/>
        <c:tickLblPos val="nextTo"/>
        <c:crossAx val="57485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Lec 3 Task.xlsx]Charts!PivotTable16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4">
                    <a:lumMod val="75000"/>
                  </a:schemeClr>
                </a:solidFill>
              </a:rPr>
              <a:t>Sales Regions Revenue Distribution</a:t>
            </a:r>
            <a:endParaRPr lang="en-US">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hade val="86000"/>
            </a:schemeClr>
          </a:solidFill>
          <a:ln w="19050">
            <a:solidFill>
              <a:schemeClr val="lt1"/>
            </a:solidFill>
          </a:ln>
          <a:effectLst/>
        </c:spPr>
        <c:dLbl>
          <c:idx val="0"/>
          <c:layout>
            <c:manualLayout>
              <c:x val="5.6756860871842958E-2"/>
              <c:y val="-4.812940348023229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hade val="31000"/>
            </a:schemeClr>
          </a:solidFill>
          <a:ln w="19050">
            <a:solidFill>
              <a:schemeClr val="lt1"/>
            </a:solidFill>
          </a:ln>
          <a:effectLst/>
        </c:spPr>
      </c:pivotFmt>
      <c:pivotFmt>
        <c:idx val="6"/>
        <c:spPr>
          <a:solidFill>
            <a:schemeClr val="accent4">
              <a:shade val="32000"/>
            </a:schemeClr>
          </a:solidFill>
          <a:ln w="19050">
            <a:solidFill>
              <a:schemeClr val="lt1"/>
            </a:solidFill>
          </a:ln>
          <a:effectLst/>
        </c:spPr>
      </c:pivotFmt>
      <c:pivotFmt>
        <c:idx val="7"/>
        <c:spPr>
          <a:solidFill>
            <a:schemeClr val="accent4">
              <a:shade val="33000"/>
            </a:schemeClr>
          </a:solidFill>
          <a:ln w="19050">
            <a:solidFill>
              <a:schemeClr val="lt1"/>
            </a:solidFill>
          </a:ln>
          <a:effectLst/>
        </c:spPr>
      </c:pivotFmt>
      <c:pivotFmt>
        <c:idx val="8"/>
        <c:spPr>
          <a:solidFill>
            <a:schemeClr val="accent4">
              <a:shade val="34000"/>
            </a:schemeClr>
          </a:solidFill>
          <a:ln w="19050">
            <a:solidFill>
              <a:schemeClr val="lt1"/>
            </a:solidFill>
          </a:ln>
          <a:effectLst/>
        </c:spPr>
      </c:pivotFmt>
      <c:pivotFmt>
        <c:idx val="9"/>
        <c:spPr>
          <a:solidFill>
            <a:schemeClr val="accent4">
              <a:shade val="35000"/>
            </a:schemeClr>
          </a:solidFill>
          <a:ln w="19050">
            <a:solidFill>
              <a:schemeClr val="lt1"/>
            </a:solidFill>
          </a:ln>
          <a:effectLst/>
        </c:spPr>
      </c:pivotFmt>
      <c:pivotFmt>
        <c:idx val="10"/>
        <c:spPr>
          <a:solidFill>
            <a:schemeClr val="accent4">
              <a:shade val="36000"/>
            </a:schemeClr>
          </a:solidFill>
          <a:ln w="19050">
            <a:solidFill>
              <a:schemeClr val="lt1"/>
            </a:solidFill>
          </a:ln>
          <a:effectLst/>
        </c:spPr>
      </c:pivotFmt>
      <c:pivotFmt>
        <c:idx val="11"/>
        <c:spPr>
          <a:solidFill>
            <a:schemeClr val="accent4">
              <a:shade val="37000"/>
            </a:schemeClr>
          </a:solidFill>
          <a:ln w="19050">
            <a:solidFill>
              <a:schemeClr val="lt1"/>
            </a:solidFill>
          </a:ln>
          <a:effectLst/>
        </c:spPr>
      </c:pivotFmt>
      <c:pivotFmt>
        <c:idx val="12"/>
        <c:spPr>
          <a:solidFill>
            <a:schemeClr val="accent4">
              <a:shade val="38000"/>
            </a:schemeClr>
          </a:solidFill>
          <a:ln w="19050">
            <a:solidFill>
              <a:schemeClr val="lt1"/>
            </a:solidFill>
          </a:ln>
          <a:effectLst/>
        </c:spPr>
      </c:pivotFmt>
      <c:pivotFmt>
        <c:idx val="13"/>
        <c:spPr>
          <a:solidFill>
            <a:schemeClr val="accent4">
              <a:shade val="39000"/>
            </a:schemeClr>
          </a:solidFill>
          <a:ln w="19050">
            <a:solidFill>
              <a:schemeClr val="lt1"/>
            </a:solidFill>
          </a:ln>
          <a:effectLst/>
        </c:spPr>
      </c:pivotFmt>
      <c:pivotFmt>
        <c:idx val="14"/>
        <c:spPr>
          <a:solidFill>
            <a:schemeClr val="accent4">
              <a:shade val="40000"/>
            </a:schemeClr>
          </a:solidFill>
          <a:ln w="19050">
            <a:solidFill>
              <a:schemeClr val="lt1"/>
            </a:solidFill>
          </a:ln>
          <a:effectLst/>
        </c:spPr>
      </c:pivotFmt>
      <c:pivotFmt>
        <c:idx val="15"/>
        <c:spPr>
          <a:solidFill>
            <a:schemeClr val="accent4">
              <a:shade val="41000"/>
            </a:schemeClr>
          </a:solidFill>
          <a:ln w="19050">
            <a:solidFill>
              <a:schemeClr val="lt1"/>
            </a:solidFill>
          </a:ln>
          <a:effectLst/>
        </c:spPr>
      </c:pivotFmt>
      <c:pivotFmt>
        <c:idx val="16"/>
        <c:spPr>
          <a:solidFill>
            <a:schemeClr val="accent4">
              <a:shade val="42000"/>
            </a:schemeClr>
          </a:solidFill>
          <a:ln w="19050">
            <a:solidFill>
              <a:schemeClr val="lt1"/>
            </a:solidFill>
          </a:ln>
          <a:effectLst/>
        </c:spPr>
      </c:pivotFmt>
      <c:pivotFmt>
        <c:idx val="17"/>
        <c:spPr>
          <a:solidFill>
            <a:schemeClr val="accent4">
              <a:shade val="43000"/>
            </a:schemeClr>
          </a:solidFill>
          <a:ln w="19050">
            <a:solidFill>
              <a:schemeClr val="lt1"/>
            </a:solidFill>
          </a:ln>
          <a:effectLst/>
        </c:spPr>
      </c:pivotFmt>
      <c:pivotFmt>
        <c:idx val="18"/>
        <c:spPr>
          <a:solidFill>
            <a:schemeClr val="accent4">
              <a:shade val="44000"/>
            </a:schemeClr>
          </a:solidFill>
          <a:ln w="19050">
            <a:solidFill>
              <a:schemeClr val="lt1"/>
            </a:solidFill>
          </a:ln>
          <a:effectLst/>
        </c:spPr>
      </c:pivotFmt>
      <c:pivotFmt>
        <c:idx val="19"/>
        <c:spPr>
          <a:solidFill>
            <a:schemeClr val="accent4">
              <a:shade val="45000"/>
            </a:schemeClr>
          </a:solidFill>
          <a:ln w="19050">
            <a:solidFill>
              <a:schemeClr val="lt1"/>
            </a:solidFill>
          </a:ln>
          <a:effectLst/>
        </c:spPr>
      </c:pivotFmt>
      <c:pivotFmt>
        <c:idx val="20"/>
        <c:spPr>
          <a:solidFill>
            <a:schemeClr val="accent4">
              <a:shade val="46000"/>
            </a:schemeClr>
          </a:solidFill>
          <a:ln w="19050">
            <a:solidFill>
              <a:schemeClr val="lt1"/>
            </a:solidFill>
          </a:ln>
          <a:effectLst/>
        </c:spPr>
      </c:pivotFmt>
      <c:pivotFmt>
        <c:idx val="21"/>
        <c:spPr>
          <a:solidFill>
            <a:schemeClr val="accent4">
              <a:shade val="47000"/>
            </a:schemeClr>
          </a:solidFill>
          <a:ln w="19050">
            <a:solidFill>
              <a:schemeClr val="lt1"/>
            </a:solidFill>
          </a:ln>
          <a:effectLst/>
        </c:spPr>
      </c:pivotFmt>
      <c:pivotFmt>
        <c:idx val="22"/>
        <c:spPr>
          <a:solidFill>
            <a:schemeClr val="accent4">
              <a:shade val="48000"/>
            </a:schemeClr>
          </a:solidFill>
          <a:ln w="19050">
            <a:solidFill>
              <a:schemeClr val="lt1"/>
            </a:solidFill>
          </a:ln>
          <a:effectLst/>
        </c:spPr>
      </c:pivotFmt>
      <c:pivotFmt>
        <c:idx val="23"/>
        <c:spPr>
          <a:solidFill>
            <a:schemeClr val="accent4">
              <a:shade val="49000"/>
            </a:schemeClr>
          </a:solidFill>
          <a:ln w="19050">
            <a:solidFill>
              <a:schemeClr val="lt1"/>
            </a:solidFill>
          </a:ln>
          <a:effectLst/>
        </c:spPr>
      </c:pivotFmt>
      <c:pivotFmt>
        <c:idx val="24"/>
        <c:spPr>
          <a:solidFill>
            <a:schemeClr val="accent4">
              <a:shade val="50000"/>
            </a:schemeClr>
          </a:solidFill>
          <a:ln w="19050">
            <a:solidFill>
              <a:schemeClr val="lt1"/>
            </a:solidFill>
          </a:ln>
          <a:effectLst/>
        </c:spPr>
      </c:pivotFmt>
      <c:pivotFmt>
        <c:idx val="25"/>
        <c:spPr>
          <a:solidFill>
            <a:schemeClr val="accent4">
              <a:shade val="51000"/>
            </a:schemeClr>
          </a:solidFill>
          <a:ln w="19050">
            <a:solidFill>
              <a:schemeClr val="lt1"/>
            </a:solidFill>
          </a:ln>
          <a:effectLst/>
        </c:spPr>
      </c:pivotFmt>
      <c:pivotFmt>
        <c:idx val="26"/>
        <c:spPr>
          <a:solidFill>
            <a:schemeClr val="accent4">
              <a:shade val="52000"/>
            </a:schemeClr>
          </a:solidFill>
          <a:ln w="19050">
            <a:solidFill>
              <a:schemeClr val="lt1"/>
            </a:solidFill>
          </a:ln>
          <a:effectLst/>
        </c:spPr>
      </c:pivotFmt>
      <c:pivotFmt>
        <c:idx val="27"/>
        <c:spPr>
          <a:solidFill>
            <a:schemeClr val="accent4">
              <a:shade val="53000"/>
            </a:schemeClr>
          </a:solidFill>
          <a:ln w="19050">
            <a:solidFill>
              <a:schemeClr val="lt1"/>
            </a:solidFill>
          </a:ln>
          <a:effectLst/>
        </c:spPr>
      </c:pivotFmt>
      <c:pivotFmt>
        <c:idx val="28"/>
        <c:spPr>
          <a:solidFill>
            <a:schemeClr val="accent4">
              <a:shade val="54000"/>
            </a:schemeClr>
          </a:solidFill>
          <a:ln w="19050">
            <a:solidFill>
              <a:schemeClr val="lt1"/>
            </a:solidFill>
          </a:ln>
          <a:effectLst/>
        </c:spPr>
      </c:pivotFmt>
      <c:pivotFmt>
        <c:idx val="29"/>
        <c:spPr>
          <a:solidFill>
            <a:schemeClr val="accent4">
              <a:shade val="55000"/>
            </a:schemeClr>
          </a:solidFill>
          <a:ln w="19050">
            <a:solidFill>
              <a:schemeClr val="lt1"/>
            </a:solidFill>
          </a:ln>
          <a:effectLst/>
        </c:spPr>
      </c:pivotFmt>
      <c:pivotFmt>
        <c:idx val="30"/>
        <c:spPr>
          <a:solidFill>
            <a:schemeClr val="accent4">
              <a:shade val="56000"/>
            </a:schemeClr>
          </a:solidFill>
          <a:ln w="19050">
            <a:solidFill>
              <a:schemeClr val="lt1"/>
            </a:solidFill>
          </a:ln>
          <a:effectLst/>
        </c:spPr>
      </c:pivotFmt>
      <c:pivotFmt>
        <c:idx val="31"/>
        <c:spPr>
          <a:solidFill>
            <a:schemeClr val="accent4">
              <a:shade val="58000"/>
            </a:schemeClr>
          </a:solidFill>
          <a:ln w="19050">
            <a:solidFill>
              <a:schemeClr val="lt1"/>
            </a:solidFill>
          </a:ln>
          <a:effectLst/>
        </c:spPr>
      </c:pivotFmt>
      <c:pivotFmt>
        <c:idx val="32"/>
        <c:spPr>
          <a:solidFill>
            <a:schemeClr val="accent4">
              <a:shade val="59000"/>
            </a:schemeClr>
          </a:solidFill>
          <a:ln w="19050">
            <a:solidFill>
              <a:schemeClr val="lt1"/>
            </a:solidFill>
          </a:ln>
          <a:effectLst/>
        </c:spPr>
      </c:pivotFmt>
      <c:pivotFmt>
        <c:idx val="33"/>
        <c:spPr>
          <a:solidFill>
            <a:schemeClr val="accent4">
              <a:shade val="60000"/>
            </a:schemeClr>
          </a:solidFill>
          <a:ln w="19050">
            <a:solidFill>
              <a:schemeClr val="lt1"/>
            </a:solidFill>
          </a:ln>
          <a:effectLst/>
        </c:spPr>
      </c:pivotFmt>
      <c:pivotFmt>
        <c:idx val="34"/>
        <c:spPr>
          <a:solidFill>
            <a:schemeClr val="accent4">
              <a:shade val="61000"/>
            </a:schemeClr>
          </a:solidFill>
          <a:ln w="19050">
            <a:solidFill>
              <a:schemeClr val="lt1"/>
            </a:solidFill>
          </a:ln>
          <a:effectLst/>
        </c:spPr>
      </c:pivotFmt>
      <c:pivotFmt>
        <c:idx val="35"/>
        <c:spPr>
          <a:solidFill>
            <a:schemeClr val="accent4">
              <a:shade val="62000"/>
            </a:schemeClr>
          </a:solidFill>
          <a:ln w="19050">
            <a:solidFill>
              <a:schemeClr val="lt1"/>
            </a:solidFill>
          </a:ln>
          <a:effectLst/>
        </c:spPr>
      </c:pivotFmt>
      <c:pivotFmt>
        <c:idx val="36"/>
        <c:spPr>
          <a:solidFill>
            <a:schemeClr val="accent4">
              <a:shade val="63000"/>
            </a:schemeClr>
          </a:solidFill>
          <a:ln w="19050">
            <a:solidFill>
              <a:schemeClr val="lt1"/>
            </a:solidFill>
          </a:ln>
          <a:effectLst/>
        </c:spPr>
      </c:pivotFmt>
      <c:pivotFmt>
        <c:idx val="37"/>
        <c:spPr>
          <a:solidFill>
            <a:schemeClr val="accent4">
              <a:shade val="64000"/>
            </a:schemeClr>
          </a:solidFill>
          <a:ln w="19050">
            <a:solidFill>
              <a:schemeClr val="lt1"/>
            </a:solidFill>
          </a:ln>
          <a:effectLst/>
        </c:spPr>
      </c:pivotFmt>
      <c:pivotFmt>
        <c:idx val="38"/>
        <c:spPr>
          <a:solidFill>
            <a:schemeClr val="accent4">
              <a:shade val="65000"/>
            </a:schemeClr>
          </a:solidFill>
          <a:ln w="19050">
            <a:solidFill>
              <a:schemeClr val="lt1"/>
            </a:solidFill>
          </a:ln>
          <a:effectLst/>
        </c:spPr>
      </c:pivotFmt>
      <c:pivotFmt>
        <c:idx val="39"/>
        <c:spPr>
          <a:solidFill>
            <a:schemeClr val="accent4">
              <a:shade val="66000"/>
            </a:schemeClr>
          </a:solidFill>
          <a:ln w="19050">
            <a:solidFill>
              <a:schemeClr val="lt1"/>
            </a:solidFill>
          </a:ln>
          <a:effectLst/>
        </c:spPr>
      </c:pivotFmt>
      <c:pivotFmt>
        <c:idx val="40"/>
        <c:spPr>
          <a:solidFill>
            <a:schemeClr val="accent4">
              <a:shade val="67000"/>
            </a:schemeClr>
          </a:solidFill>
          <a:ln w="19050">
            <a:solidFill>
              <a:schemeClr val="lt1"/>
            </a:solidFill>
          </a:ln>
          <a:effectLst/>
        </c:spPr>
      </c:pivotFmt>
      <c:pivotFmt>
        <c:idx val="41"/>
        <c:spPr>
          <a:solidFill>
            <a:schemeClr val="accent4">
              <a:shade val="68000"/>
            </a:schemeClr>
          </a:solidFill>
          <a:ln w="19050">
            <a:solidFill>
              <a:schemeClr val="lt1"/>
            </a:solidFill>
          </a:ln>
          <a:effectLst/>
        </c:spPr>
      </c:pivotFmt>
      <c:pivotFmt>
        <c:idx val="42"/>
        <c:spPr>
          <a:solidFill>
            <a:schemeClr val="accent4">
              <a:shade val="69000"/>
            </a:schemeClr>
          </a:solidFill>
          <a:ln w="19050">
            <a:solidFill>
              <a:schemeClr val="lt1"/>
            </a:solidFill>
          </a:ln>
          <a:effectLst/>
        </c:spPr>
      </c:pivotFmt>
      <c:pivotFmt>
        <c:idx val="43"/>
        <c:spPr>
          <a:solidFill>
            <a:schemeClr val="accent4">
              <a:shade val="70000"/>
            </a:schemeClr>
          </a:solidFill>
          <a:ln w="19050">
            <a:solidFill>
              <a:schemeClr val="lt1"/>
            </a:solidFill>
          </a:ln>
          <a:effectLst/>
        </c:spPr>
      </c:pivotFmt>
      <c:pivotFmt>
        <c:idx val="44"/>
        <c:spPr>
          <a:solidFill>
            <a:schemeClr val="accent4">
              <a:shade val="71000"/>
            </a:schemeClr>
          </a:solidFill>
          <a:ln w="19050">
            <a:solidFill>
              <a:schemeClr val="lt1"/>
            </a:solidFill>
          </a:ln>
          <a:effectLst/>
        </c:spPr>
      </c:pivotFmt>
      <c:pivotFmt>
        <c:idx val="45"/>
        <c:spPr>
          <a:solidFill>
            <a:schemeClr val="accent4">
              <a:shade val="72000"/>
            </a:schemeClr>
          </a:solidFill>
          <a:ln w="19050">
            <a:solidFill>
              <a:schemeClr val="lt1"/>
            </a:solidFill>
          </a:ln>
          <a:effectLst/>
        </c:spPr>
      </c:pivotFmt>
      <c:pivotFmt>
        <c:idx val="46"/>
        <c:spPr>
          <a:solidFill>
            <a:schemeClr val="accent4">
              <a:shade val="73000"/>
            </a:schemeClr>
          </a:solidFill>
          <a:ln w="19050">
            <a:solidFill>
              <a:schemeClr val="lt1"/>
            </a:solidFill>
          </a:ln>
          <a:effectLst/>
        </c:spPr>
      </c:pivotFmt>
      <c:pivotFmt>
        <c:idx val="47"/>
        <c:spPr>
          <a:solidFill>
            <a:schemeClr val="accent4">
              <a:shade val="74000"/>
            </a:schemeClr>
          </a:solidFill>
          <a:ln w="19050">
            <a:solidFill>
              <a:schemeClr val="lt1"/>
            </a:solidFill>
          </a:ln>
          <a:effectLst/>
        </c:spPr>
      </c:pivotFmt>
      <c:pivotFmt>
        <c:idx val="48"/>
        <c:spPr>
          <a:solidFill>
            <a:schemeClr val="accent4">
              <a:shade val="75000"/>
            </a:schemeClr>
          </a:solidFill>
          <a:ln w="19050">
            <a:solidFill>
              <a:schemeClr val="lt1"/>
            </a:solidFill>
          </a:ln>
          <a:effectLst/>
        </c:spPr>
      </c:pivotFmt>
      <c:pivotFmt>
        <c:idx val="49"/>
        <c:spPr>
          <a:solidFill>
            <a:schemeClr val="accent4">
              <a:shade val="76000"/>
            </a:schemeClr>
          </a:solidFill>
          <a:ln w="19050">
            <a:solidFill>
              <a:schemeClr val="lt1"/>
            </a:solidFill>
          </a:ln>
          <a:effectLst/>
        </c:spPr>
      </c:pivotFmt>
      <c:pivotFmt>
        <c:idx val="50"/>
        <c:spPr>
          <a:solidFill>
            <a:schemeClr val="accent4">
              <a:shade val="77000"/>
            </a:schemeClr>
          </a:solidFill>
          <a:ln w="19050">
            <a:solidFill>
              <a:schemeClr val="lt1"/>
            </a:solidFill>
          </a:ln>
          <a:effectLst/>
        </c:spPr>
      </c:pivotFmt>
      <c:pivotFmt>
        <c:idx val="51"/>
        <c:spPr>
          <a:solidFill>
            <a:schemeClr val="accent4">
              <a:shade val="78000"/>
            </a:schemeClr>
          </a:solidFill>
          <a:ln w="19050">
            <a:solidFill>
              <a:schemeClr val="lt1"/>
            </a:solidFill>
          </a:ln>
          <a:effectLst/>
        </c:spPr>
      </c:pivotFmt>
      <c:pivotFmt>
        <c:idx val="52"/>
        <c:spPr>
          <a:solidFill>
            <a:schemeClr val="accent4">
              <a:shade val="79000"/>
            </a:schemeClr>
          </a:solidFill>
          <a:ln w="19050">
            <a:solidFill>
              <a:schemeClr val="lt1"/>
            </a:solidFill>
          </a:ln>
          <a:effectLst/>
        </c:spPr>
      </c:pivotFmt>
      <c:pivotFmt>
        <c:idx val="53"/>
        <c:spPr>
          <a:solidFill>
            <a:schemeClr val="accent4">
              <a:shade val="80000"/>
            </a:schemeClr>
          </a:solidFill>
          <a:ln w="19050">
            <a:solidFill>
              <a:schemeClr val="lt1"/>
            </a:solidFill>
          </a:ln>
          <a:effectLst/>
        </c:spPr>
      </c:pivotFmt>
      <c:pivotFmt>
        <c:idx val="54"/>
        <c:spPr>
          <a:solidFill>
            <a:schemeClr val="accent4">
              <a:shade val="81000"/>
            </a:schemeClr>
          </a:solidFill>
          <a:ln w="19050">
            <a:solidFill>
              <a:schemeClr val="lt1"/>
            </a:solidFill>
          </a:ln>
          <a:effectLst/>
        </c:spPr>
      </c:pivotFmt>
      <c:pivotFmt>
        <c:idx val="55"/>
        <c:spPr>
          <a:solidFill>
            <a:schemeClr val="accent4">
              <a:shade val="82000"/>
            </a:schemeClr>
          </a:solidFill>
          <a:ln w="19050">
            <a:solidFill>
              <a:schemeClr val="lt1"/>
            </a:solidFill>
          </a:ln>
          <a:effectLst/>
        </c:spPr>
      </c:pivotFmt>
      <c:pivotFmt>
        <c:idx val="56"/>
        <c:spPr>
          <a:solidFill>
            <a:schemeClr val="accent4">
              <a:shade val="83000"/>
            </a:schemeClr>
          </a:solidFill>
          <a:ln w="19050">
            <a:solidFill>
              <a:schemeClr val="lt1"/>
            </a:solidFill>
          </a:ln>
          <a:effectLst/>
        </c:spPr>
      </c:pivotFmt>
      <c:pivotFmt>
        <c:idx val="57"/>
        <c:spPr>
          <a:solidFill>
            <a:schemeClr val="accent4">
              <a:shade val="84000"/>
            </a:schemeClr>
          </a:solidFill>
          <a:ln w="19050">
            <a:solidFill>
              <a:schemeClr val="lt1"/>
            </a:solidFill>
          </a:ln>
          <a:effectLst/>
        </c:spPr>
      </c:pivotFmt>
      <c:pivotFmt>
        <c:idx val="58"/>
        <c:spPr>
          <a:solidFill>
            <a:schemeClr val="accent4">
              <a:shade val="86000"/>
            </a:schemeClr>
          </a:solidFill>
          <a:ln w="19050">
            <a:solidFill>
              <a:schemeClr val="lt1"/>
            </a:solidFill>
          </a:ln>
          <a:effectLst/>
        </c:spPr>
      </c:pivotFmt>
      <c:pivotFmt>
        <c:idx val="59"/>
        <c:spPr>
          <a:solidFill>
            <a:schemeClr val="accent4">
              <a:shade val="87000"/>
            </a:schemeClr>
          </a:solidFill>
          <a:ln w="19050">
            <a:solidFill>
              <a:schemeClr val="lt1"/>
            </a:solidFill>
          </a:ln>
          <a:effectLst/>
        </c:spPr>
      </c:pivotFmt>
      <c:pivotFmt>
        <c:idx val="60"/>
        <c:spPr>
          <a:solidFill>
            <a:schemeClr val="accent4">
              <a:shade val="88000"/>
            </a:schemeClr>
          </a:solidFill>
          <a:ln w="19050">
            <a:solidFill>
              <a:schemeClr val="lt1"/>
            </a:solidFill>
          </a:ln>
          <a:effectLst/>
        </c:spPr>
      </c:pivotFmt>
      <c:pivotFmt>
        <c:idx val="61"/>
        <c:spPr>
          <a:solidFill>
            <a:schemeClr val="accent4">
              <a:shade val="89000"/>
            </a:schemeClr>
          </a:solidFill>
          <a:ln w="19050">
            <a:solidFill>
              <a:schemeClr val="lt1"/>
            </a:solidFill>
          </a:ln>
          <a:effectLst/>
        </c:spPr>
      </c:pivotFmt>
      <c:pivotFmt>
        <c:idx val="62"/>
        <c:spPr>
          <a:solidFill>
            <a:schemeClr val="accent4">
              <a:shade val="90000"/>
            </a:schemeClr>
          </a:solidFill>
          <a:ln w="19050">
            <a:solidFill>
              <a:schemeClr val="lt1"/>
            </a:solidFill>
          </a:ln>
          <a:effectLst/>
        </c:spPr>
      </c:pivotFmt>
      <c:pivotFmt>
        <c:idx val="63"/>
        <c:spPr>
          <a:solidFill>
            <a:schemeClr val="accent4">
              <a:shade val="91000"/>
            </a:schemeClr>
          </a:solidFill>
          <a:ln w="19050">
            <a:solidFill>
              <a:schemeClr val="lt1"/>
            </a:solidFill>
          </a:ln>
          <a:effectLst/>
        </c:spPr>
      </c:pivotFmt>
      <c:pivotFmt>
        <c:idx val="64"/>
        <c:spPr>
          <a:solidFill>
            <a:schemeClr val="accent4">
              <a:shade val="92000"/>
            </a:schemeClr>
          </a:solidFill>
          <a:ln w="19050">
            <a:solidFill>
              <a:schemeClr val="lt1"/>
            </a:solidFill>
          </a:ln>
          <a:effectLst/>
        </c:spPr>
      </c:pivotFmt>
      <c:pivotFmt>
        <c:idx val="65"/>
        <c:spPr>
          <a:solidFill>
            <a:schemeClr val="accent4">
              <a:shade val="93000"/>
            </a:schemeClr>
          </a:solidFill>
          <a:ln w="19050">
            <a:solidFill>
              <a:schemeClr val="lt1"/>
            </a:solidFill>
          </a:ln>
          <a:effectLst/>
        </c:spPr>
      </c:pivotFmt>
      <c:pivotFmt>
        <c:idx val="66"/>
        <c:spPr>
          <a:solidFill>
            <a:schemeClr val="accent4">
              <a:shade val="94000"/>
            </a:schemeClr>
          </a:solidFill>
          <a:ln w="19050">
            <a:solidFill>
              <a:schemeClr val="lt1"/>
            </a:solidFill>
          </a:ln>
          <a:effectLst/>
        </c:spPr>
      </c:pivotFmt>
      <c:pivotFmt>
        <c:idx val="67"/>
        <c:spPr>
          <a:solidFill>
            <a:schemeClr val="accent4">
              <a:shade val="95000"/>
            </a:schemeClr>
          </a:solidFill>
          <a:ln w="19050">
            <a:solidFill>
              <a:schemeClr val="lt1"/>
            </a:solidFill>
          </a:ln>
          <a:effectLst/>
        </c:spPr>
      </c:pivotFmt>
      <c:pivotFmt>
        <c:idx val="68"/>
        <c:spPr>
          <a:solidFill>
            <a:schemeClr val="accent4">
              <a:shade val="96000"/>
            </a:schemeClr>
          </a:solidFill>
          <a:ln w="19050">
            <a:solidFill>
              <a:schemeClr val="lt1"/>
            </a:solidFill>
          </a:ln>
          <a:effectLst/>
        </c:spPr>
      </c:pivotFmt>
      <c:pivotFmt>
        <c:idx val="69"/>
        <c:spPr>
          <a:solidFill>
            <a:schemeClr val="accent4">
              <a:shade val="97000"/>
            </a:schemeClr>
          </a:solidFill>
          <a:ln w="19050">
            <a:solidFill>
              <a:schemeClr val="lt1"/>
            </a:solidFill>
          </a:ln>
          <a:effectLst/>
        </c:spPr>
      </c:pivotFmt>
      <c:pivotFmt>
        <c:idx val="70"/>
        <c:spPr>
          <a:solidFill>
            <a:schemeClr val="accent4">
              <a:shade val="98000"/>
            </a:schemeClr>
          </a:solidFill>
          <a:ln w="19050">
            <a:solidFill>
              <a:schemeClr val="lt1"/>
            </a:solidFill>
          </a:ln>
          <a:effectLst/>
        </c:spPr>
      </c:pivotFmt>
      <c:pivotFmt>
        <c:idx val="71"/>
        <c:spPr>
          <a:solidFill>
            <a:schemeClr val="accent4">
              <a:shade val="99000"/>
            </a:schemeClr>
          </a:solidFill>
          <a:ln w="19050">
            <a:solidFill>
              <a:schemeClr val="lt1"/>
            </a:solidFill>
          </a:ln>
          <a:effectLst/>
        </c:spPr>
      </c:pivotFmt>
      <c:pivotFmt>
        <c:idx val="72"/>
        <c:spPr>
          <a:solidFill>
            <a:schemeClr val="accent4"/>
          </a:solidFill>
          <a:ln w="19050">
            <a:solidFill>
              <a:schemeClr val="lt1"/>
            </a:solidFill>
          </a:ln>
          <a:effectLst/>
        </c:spPr>
      </c:pivotFmt>
      <c:pivotFmt>
        <c:idx val="73"/>
        <c:spPr>
          <a:solidFill>
            <a:schemeClr val="accent4">
              <a:tint val="99000"/>
            </a:schemeClr>
          </a:solidFill>
          <a:ln w="19050">
            <a:solidFill>
              <a:schemeClr val="lt1"/>
            </a:solidFill>
          </a:ln>
          <a:effectLst/>
        </c:spPr>
      </c:pivotFmt>
      <c:pivotFmt>
        <c:idx val="74"/>
        <c:spPr>
          <a:solidFill>
            <a:schemeClr val="accent4">
              <a:tint val="98000"/>
            </a:schemeClr>
          </a:solidFill>
          <a:ln w="19050">
            <a:solidFill>
              <a:schemeClr val="lt1"/>
            </a:solidFill>
          </a:ln>
          <a:effectLst/>
        </c:spPr>
      </c:pivotFmt>
      <c:pivotFmt>
        <c:idx val="75"/>
        <c:spPr>
          <a:solidFill>
            <a:schemeClr val="accent4">
              <a:tint val="97000"/>
            </a:schemeClr>
          </a:solidFill>
          <a:ln w="19050">
            <a:solidFill>
              <a:schemeClr val="lt1"/>
            </a:solidFill>
          </a:ln>
          <a:effectLst/>
        </c:spPr>
      </c:pivotFmt>
      <c:pivotFmt>
        <c:idx val="76"/>
        <c:spPr>
          <a:solidFill>
            <a:schemeClr val="accent4">
              <a:tint val="96000"/>
            </a:schemeClr>
          </a:solidFill>
          <a:ln w="19050">
            <a:solidFill>
              <a:schemeClr val="lt1"/>
            </a:solidFill>
          </a:ln>
          <a:effectLst/>
        </c:spPr>
      </c:pivotFmt>
      <c:pivotFmt>
        <c:idx val="77"/>
        <c:spPr>
          <a:solidFill>
            <a:schemeClr val="accent4">
              <a:tint val="95000"/>
            </a:schemeClr>
          </a:solidFill>
          <a:ln w="19050">
            <a:solidFill>
              <a:schemeClr val="lt1"/>
            </a:solidFill>
          </a:ln>
          <a:effectLst/>
        </c:spPr>
      </c:pivotFmt>
      <c:pivotFmt>
        <c:idx val="78"/>
        <c:spPr>
          <a:solidFill>
            <a:schemeClr val="accent4">
              <a:tint val="94000"/>
            </a:schemeClr>
          </a:solidFill>
          <a:ln w="19050">
            <a:solidFill>
              <a:schemeClr val="lt1"/>
            </a:solidFill>
          </a:ln>
          <a:effectLst/>
        </c:spPr>
      </c:pivotFmt>
      <c:pivotFmt>
        <c:idx val="79"/>
        <c:spPr>
          <a:solidFill>
            <a:schemeClr val="accent4">
              <a:tint val="93000"/>
            </a:schemeClr>
          </a:solidFill>
          <a:ln w="19050">
            <a:solidFill>
              <a:schemeClr val="lt1"/>
            </a:solidFill>
          </a:ln>
          <a:effectLst/>
        </c:spPr>
      </c:pivotFmt>
      <c:pivotFmt>
        <c:idx val="80"/>
        <c:spPr>
          <a:solidFill>
            <a:schemeClr val="accent4">
              <a:tint val="92000"/>
            </a:schemeClr>
          </a:solidFill>
          <a:ln w="19050">
            <a:solidFill>
              <a:schemeClr val="lt1"/>
            </a:solidFill>
          </a:ln>
          <a:effectLst/>
        </c:spPr>
      </c:pivotFmt>
      <c:pivotFmt>
        <c:idx val="81"/>
        <c:spPr>
          <a:solidFill>
            <a:schemeClr val="accent4">
              <a:tint val="91000"/>
            </a:schemeClr>
          </a:solidFill>
          <a:ln w="19050">
            <a:solidFill>
              <a:schemeClr val="lt1"/>
            </a:solidFill>
          </a:ln>
          <a:effectLst/>
        </c:spPr>
      </c:pivotFmt>
      <c:pivotFmt>
        <c:idx val="82"/>
        <c:spPr>
          <a:solidFill>
            <a:schemeClr val="accent4">
              <a:tint val="90000"/>
            </a:schemeClr>
          </a:solidFill>
          <a:ln w="19050">
            <a:solidFill>
              <a:schemeClr val="lt1"/>
            </a:solidFill>
          </a:ln>
          <a:effectLst/>
        </c:spPr>
      </c:pivotFmt>
      <c:pivotFmt>
        <c:idx val="83"/>
        <c:spPr>
          <a:solidFill>
            <a:schemeClr val="accent4">
              <a:tint val="89000"/>
            </a:schemeClr>
          </a:solidFill>
          <a:ln w="19050">
            <a:solidFill>
              <a:schemeClr val="lt1"/>
            </a:solidFill>
          </a:ln>
          <a:effectLst/>
        </c:spPr>
      </c:pivotFmt>
      <c:pivotFmt>
        <c:idx val="84"/>
        <c:spPr>
          <a:solidFill>
            <a:schemeClr val="accent4">
              <a:tint val="88000"/>
            </a:schemeClr>
          </a:solidFill>
          <a:ln w="19050">
            <a:solidFill>
              <a:schemeClr val="lt1"/>
            </a:solidFill>
          </a:ln>
          <a:effectLst/>
        </c:spPr>
      </c:pivotFmt>
      <c:pivotFmt>
        <c:idx val="85"/>
        <c:spPr>
          <a:solidFill>
            <a:schemeClr val="accent4">
              <a:tint val="86000"/>
            </a:schemeClr>
          </a:solidFill>
          <a:ln w="19050">
            <a:solidFill>
              <a:schemeClr val="lt1"/>
            </a:solidFill>
          </a:ln>
          <a:effectLst/>
        </c:spPr>
      </c:pivotFmt>
      <c:pivotFmt>
        <c:idx val="86"/>
        <c:spPr>
          <a:solidFill>
            <a:schemeClr val="accent4">
              <a:tint val="85000"/>
            </a:schemeClr>
          </a:solidFill>
          <a:ln w="19050">
            <a:solidFill>
              <a:schemeClr val="lt1"/>
            </a:solidFill>
          </a:ln>
          <a:effectLst/>
        </c:spPr>
      </c:pivotFmt>
      <c:pivotFmt>
        <c:idx val="87"/>
        <c:spPr>
          <a:solidFill>
            <a:schemeClr val="accent4">
              <a:tint val="84000"/>
            </a:schemeClr>
          </a:solidFill>
          <a:ln w="19050">
            <a:solidFill>
              <a:schemeClr val="lt1"/>
            </a:solidFill>
          </a:ln>
          <a:effectLst/>
        </c:spPr>
      </c:pivotFmt>
      <c:pivotFmt>
        <c:idx val="88"/>
        <c:spPr>
          <a:solidFill>
            <a:schemeClr val="accent4">
              <a:tint val="83000"/>
            </a:schemeClr>
          </a:solidFill>
          <a:ln w="19050">
            <a:solidFill>
              <a:schemeClr val="lt1"/>
            </a:solidFill>
          </a:ln>
          <a:effectLst/>
        </c:spPr>
      </c:pivotFmt>
      <c:pivotFmt>
        <c:idx val="89"/>
        <c:spPr>
          <a:solidFill>
            <a:schemeClr val="accent4">
              <a:tint val="82000"/>
            </a:schemeClr>
          </a:solidFill>
          <a:ln w="19050">
            <a:solidFill>
              <a:schemeClr val="lt1"/>
            </a:solidFill>
          </a:ln>
          <a:effectLst/>
        </c:spPr>
      </c:pivotFmt>
      <c:pivotFmt>
        <c:idx val="90"/>
        <c:spPr>
          <a:solidFill>
            <a:schemeClr val="accent4">
              <a:tint val="81000"/>
            </a:schemeClr>
          </a:solidFill>
          <a:ln w="19050">
            <a:solidFill>
              <a:schemeClr val="lt1"/>
            </a:solidFill>
          </a:ln>
          <a:effectLst/>
        </c:spPr>
      </c:pivotFmt>
      <c:pivotFmt>
        <c:idx val="91"/>
        <c:spPr>
          <a:solidFill>
            <a:schemeClr val="accent4"/>
          </a:solidFill>
          <a:ln w="19050">
            <a:solidFill>
              <a:schemeClr val="lt1"/>
            </a:solidFill>
          </a:ln>
          <a:effectLst/>
        </c:spPr>
      </c:pivotFmt>
      <c:pivotFmt>
        <c:idx val="92"/>
        <c:spPr>
          <a:solidFill>
            <a:schemeClr val="accent4">
              <a:tint val="79000"/>
            </a:schemeClr>
          </a:solidFill>
          <a:ln w="19050">
            <a:solidFill>
              <a:schemeClr val="lt1"/>
            </a:solidFill>
          </a:ln>
          <a:effectLst/>
        </c:spPr>
      </c:pivotFmt>
      <c:pivotFmt>
        <c:idx val="93"/>
        <c:spPr>
          <a:solidFill>
            <a:schemeClr val="accent4">
              <a:tint val="78000"/>
            </a:schemeClr>
          </a:solidFill>
          <a:ln w="19050">
            <a:solidFill>
              <a:schemeClr val="lt1"/>
            </a:solidFill>
          </a:ln>
          <a:effectLst/>
        </c:spPr>
      </c:pivotFmt>
      <c:pivotFmt>
        <c:idx val="94"/>
        <c:spPr>
          <a:solidFill>
            <a:schemeClr val="accent4">
              <a:tint val="77000"/>
            </a:schemeClr>
          </a:solidFill>
          <a:ln w="19050">
            <a:solidFill>
              <a:schemeClr val="lt1"/>
            </a:solidFill>
          </a:ln>
          <a:effectLst/>
        </c:spPr>
      </c:pivotFmt>
      <c:pivotFmt>
        <c:idx val="95"/>
        <c:spPr>
          <a:solidFill>
            <a:schemeClr val="accent4">
              <a:tint val="76000"/>
            </a:schemeClr>
          </a:solidFill>
          <a:ln w="19050">
            <a:solidFill>
              <a:schemeClr val="lt1"/>
            </a:solidFill>
          </a:ln>
          <a:effectLst/>
        </c:spPr>
      </c:pivotFmt>
      <c:pivotFmt>
        <c:idx val="96"/>
        <c:spPr>
          <a:solidFill>
            <a:schemeClr val="accent4">
              <a:tint val="75000"/>
            </a:schemeClr>
          </a:solidFill>
          <a:ln w="19050">
            <a:solidFill>
              <a:schemeClr val="lt1"/>
            </a:solidFill>
          </a:ln>
          <a:effectLst/>
        </c:spPr>
      </c:pivotFmt>
      <c:pivotFmt>
        <c:idx val="97"/>
        <c:spPr>
          <a:solidFill>
            <a:schemeClr val="accent4">
              <a:tint val="74000"/>
            </a:schemeClr>
          </a:solidFill>
          <a:ln w="19050">
            <a:solidFill>
              <a:schemeClr val="lt1"/>
            </a:solidFill>
          </a:ln>
          <a:effectLst/>
        </c:spPr>
      </c:pivotFmt>
      <c:pivotFmt>
        <c:idx val="98"/>
        <c:spPr>
          <a:solidFill>
            <a:schemeClr val="accent4">
              <a:tint val="73000"/>
            </a:schemeClr>
          </a:solidFill>
          <a:ln w="19050">
            <a:solidFill>
              <a:schemeClr val="lt1"/>
            </a:solidFill>
          </a:ln>
          <a:effectLst/>
        </c:spPr>
      </c:pivotFmt>
      <c:pivotFmt>
        <c:idx val="99"/>
        <c:spPr>
          <a:solidFill>
            <a:schemeClr val="accent4">
              <a:tint val="72000"/>
            </a:schemeClr>
          </a:solidFill>
          <a:ln w="19050">
            <a:solidFill>
              <a:schemeClr val="lt1"/>
            </a:solidFill>
          </a:ln>
          <a:effectLst/>
        </c:spPr>
      </c:pivotFmt>
      <c:pivotFmt>
        <c:idx val="100"/>
        <c:spPr>
          <a:solidFill>
            <a:schemeClr val="accent4">
              <a:tint val="71000"/>
            </a:schemeClr>
          </a:solidFill>
          <a:ln w="19050">
            <a:solidFill>
              <a:schemeClr val="lt1"/>
            </a:solidFill>
          </a:ln>
          <a:effectLst/>
        </c:spPr>
      </c:pivotFmt>
      <c:pivotFmt>
        <c:idx val="101"/>
        <c:spPr>
          <a:solidFill>
            <a:schemeClr val="accent4">
              <a:tint val="70000"/>
            </a:schemeClr>
          </a:solidFill>
          <a:ln w="19050">
            <a:solidFill>
              <a:schemeClr val="lt1"/>
            </a:solidFill>
          </a:ln>
          <a:effectLst/>
        </c:spPr>
      </c:pivotFmt>
      <c:pivotFmt>
        <c:idx val="102"/>
        <c:spPr>
          <a:solidFill>
            <a:schemeClr val="accent4">
              <a:tint val="69000"/>
            </a:schemeClr>
          </a:solidFill>
          <a:ln w="19050">
            <a:solidFill>
              <a:schemeClr val="lt1"/>
            </a:solidFill>
          </a:ln>
          <a:effectLst/>
        </c:spPr>
      </c:pivotFmt>
      <c:pivotFmt>
        <c:idx val="103"/>
        <c:spPr>
          <a:solidFill>
            <a:schemeClr val="accent4">
              <a:tint val="68000"/>
            </a:schemeClr>
          </a:solidFill>
          <a:ln w="19050">
            <a:solidFill>
              <a:schemeClr val="lt1"/>
            </a:solidFill>
          </a:ln>
          <a:effectLst/>
        </c:spPr>
      </c:pivotFmt>
      <c:pivotFmt>
        <c:idx val="104"/>
        <c:spPr>
          <a:solidFill>
            <a:schemeClr val="accent4">
              <a:tint val="67000"/>
            </a:schemeClr>
          </a:solidFill>
          <a:ln w="19050">
            <a:solidFill>
              <a:schemeClr val="lt1"/>
            </a:solidFill>
          </a:ln>
          <a:effectLst/>
        </c:spPr>
      </c:pivotFmt>
      <c:pivotFmt>
        <c:idx val="105"/>
        <c:spPr>
          <a:solidFill>
            <a:schemeClr val="accent4">
              <a:tint val="66000"/>
            </a:schemeClr>
          </a:solidFill>
          <a:ln w="19050">
            <a:solidFill>
              <a:schemeClr val="lt1"/>
            </a:solidFill>
          </a:ln>
          <a:effectLst/>
        </c:spPr>
      </c:pivotFmt>
      <c:pivotFmt>
        <c:idx val="106"/>
        <c:spPr>
          <a:solidFill>
            <a:schemeClr val="accent4">
              <a:tint val="65000"/>
            </a:schemeClr>
          </a:solidFill>
          <a:ln w="19050">
            <a:solidFill>
              <a:schemeClr val="lt1"/>
            </a:solidFill>
          </a:ln>
          <a:effectLst/>
        </c:spPr>
      </c:pivotFmt>
      <c:pivotFmt>
        <c:idx val="107"/>
        <c:spPr>
          <a:solidFill>
            <a:schemeClr val="accent4">
              <a:tint val="64000"/>
            </a:schemeClr>
          </a:solidFill>
          <a:ln w="19050">
            <a:solidFill>
              <a:schemeClr val="lt1"/>
            </a:solidFill>
          </a:ln>
          <a:effectLst/>
        </c:spPr>
      </c:pivotFmt>
      <c:pivotFmt>
        <c:idx val="108"/>
        <c:spPr>
          <a:solidFill>
            <a:schemeClr val="accent4">
              <a:tint val="63000"/>
            </a:schemeClr>
          </a:solidFill>
          <a:ln w="19050">
            <a:solidFill>
              <a:schemeClr val="lt1"/>
            </a:solidFill>
          </a:ln>
          <a:effectLst/>
        </c:spPr>
      </c:pivotFmt>
      <c:pivotFmt>
        <c:idx val="109"/>
        <c:spPr>
          <a:solidFill>
            <a:schemeClr val="accent4">
              <a:tint val="62000"/>
            </a:schemeClr>
          </a:solidFill>
          <a:ln w="19050">
            <a:solidFill>
              <a:schemeClr val="lt1"/>
            </a:solidFill>
          </a:ln>
          <a:effectLst/>
        </c:spPr>
      </c:pivotFmt>
      <c:pivotFmt>
        <c:idx val="110"/>
        <c:spPr>
          <a:solidFill>
            <a:schemeClr val="accent4">
              <a:tint val="61000"/>
            </a:schemeClr>
          </a:solidFill>
          <a:ln w="19050">
            <a:solidFill>
              <a:schemeClr val="lt1"/>
            </a:solidFill>
          </a:ln>
          <a:effectLst/>
        </c:spPr>
      </c:pivotFmt>
      <c:pivotFmt>
        <c:idx val="111"/>
        <c:spPr>
          <a:solidFill>
            <a:schemeClr val="accent4">
              <a:tint val="60000"/>
            </a:schemeClr>
          </a:solidFill>
          <a:ln w="19050">
            <a:solidFill>
              <a:schemeClr val="lt1"/>
            </a:solidFill>
          </a:ln>
          <a:effectLst/>
        </c:spPr>
      </c:pivotFmt>
      <c:pivotFmt>
        <c:idx val="112"/>
        <c:spPr>
          <a:solidFill>
            <a:schemeClr val="accent4">
              <a:tint val="58000"/>
            </a:schemeClr>
          </a:solidFill>
          <a:ln w="19050">
            <a:solidFill>
              <a:schemeClr val="lt1"/>
            </a:solidFill>
          </a:ln>
          <a:effectLst/>
        </c:spPr>
      </c:pivotFmt>
      <c:pivotFmt>
        <c:idx val="113"/>
        <c:spPr>
          <a:solidFill>
            <a:schemeClr val="accent4">
              <a:tint val="57000"/>
            </a:schemeClr>
          </a:solidFill>
          <a:ln w="19050">
            <a:solidFill>
              <a:schemeClr val="lt1"/>
            </a:solidFill>
          </a:ln>
          <a:effectLst/>
        </c:spPr>
      </c:pivotFmt>
      <c:pivotFmt>
        <c:idx val="114"/>
        <c:spPr>
          <a:solidFill>
            <a:schemeClr val="accent4">
              <a:tint val="56000"/>
            </a:schemeClr>
          </a:solidFill>
          <a:ln w="19050">
            <a:solidFill>
              <a:schemeClr val="lt1"/>
            </a:solidFill>
          </a:ln>
          <a:effectLst/>
        </c:spPr>
      </c:pivotFmt>
      <c:pivotFmt>
        <c:idx val="115"/>
        <c:spPr>
          <a:solidFill>
            <a:schemeClr val="accent4">
              <a:tint val="55000"/>
            </a:schemeClr>
          </a:solidFill>
          <a:ln w="19050">
            <a:solidFill>
              <a:schemeClr val="lt1"/>
            </a:solidFill>
          </a:ln>
          <a:effectLst/>
        </c:spPr>
      </c:pivotFmt>
      <c:pivotFmt>
        <c:idx val="116"/>
        <c:spPr>
          <a:solidFill>
            <a:schemeClr val="accent4">
              <a:tint val="54000"/>
            </a:schemeClr>
          </a:solidFill>
          <a:ln w="19050">
            <a:solidFill>
              <a:schemeClr val="lt1"/>
            </a:solidFill>
          </a:ln>
          <a:effectLst/>
        </c:spPr>
      </c:pivotFmt>
      <c:pivotFmt>
        <c:idx val="117"/>
        <c:spPr>
          <a:solidFill>
            <a:schemeClr val="accent4">
              <a:tint val="53000"/>
            </a:schemeClr>
          </a:solidFill>
          <a:ln w="19050">
            <a:solidFill>
              <a:schemeClr val="lt1"/>
            </a:solidFill>
          </a:ln>
          <a:effectLst/>
        </c:spPr>
      </c:pivotFmt>
      <c:pivotFmt>
        <c:idx val="118"/>
        <c:spPr>
          <a:solidFill>
            <a:schemeClr val="accent4">
              <a:tint val="52000"/>
            </a:schemeClr>
          </a:solidFill>
          <a:ln w="19050">
            <a:solidFill>
              <a:schemeClr val="lt1"/>
            </a:solidFill>
          </a:ln>
          <a:effectLst/>
        </c:spPr>
      </c:pivotFmt>
      <c:pivotFmt>
        <c:idx val="119"/>
        <c:spPr>
          <a:solidFill>
            <a:schemeClr val="accent4">
              <a:tint val="51000"/>
            </a:schemeClr>
          </a:solidFill>
          <a:ln w="19050">
            <a:solidFill>
              <a:schemeClr val="lt1"/>
            </a:solidFill>
          </a:ln>
          <a:effectLst/>
        </c:spPr>
      </c:pivotFmt>
      <c:pivotFmt>
        <c:idx val="120"/>
        <c:spPr>
          <a:solidFill>
            <a:schemeClr val="accent4"/>
          </a:solidFill>
          <a:ln w="19050">
            <a:solidFill>
              <a:schemeClr val="lt1"/>
            </a:solidFill>
          </a:ln>
          <a:effectLst/>
        </c:spPr>
      </c:pivotFmt>
      <c:pivotFmt>
        <c:idx val="121"/>
        <c:spPr>
          <a:solidFill>
            <a:schemeClr val="accent4">
              <a:tint val="49000"/>
            </a:schemeClr>
          </a:solidFill>
          <a:ln w="19050">
            <a:solidFill>
              <a:schemeClr val="lt1"/>
            </a:solidFill>
          </a:ln>
          <a:effectLst/>
        </c:spPr>
      </c:pivotFmt>
      <c:pivotFmt>
        <c:idx val="122"/>
        <c:spPr>
          <a:solidFill>
            <a:schemeClr val="accent4">
              <a:tint val="48000"/>
            </a:schemeClr>
          </a:solidFill>
          <a:ln w="19050">
            <a:solidFill>
              <a:schemeClr val="lt1"/>
            </a:solidFill>
          </a:ln>
          <a:effectLst/>
        </c:spPr>
      </c:pivotFmt>
      <c:pivotFmt>
        <c:idx val="123"/>
        <c:spPr>
          <a:solidFill>
            <a:schemeClr val="accent4">
              <a:tint val="47000"/>
            </a:schemeClr>
          </a:solidFill>
          <a:ln w="19050">
            <a:solidFill>
              <a:schemeClr val="lt1"/>
            </a:solidFill>
          </a:ln>
          <a:effectLst/>
        </c:spPr>
      </c:pivotFmt>
      <c:pivotFmt>
        <c:idx val="124"/>
        <c:spPr>
          <a:solidFill>
            <a:schemeClr val="accent4">
              <a:tint val="46000"/>
            </a:schemeClr>
          </a:solidFill>
          <a:ln w="19050">
            <a:solidFill>
              <a:schemeClr val="lt1"/>
            </a:solidFill>
          </a:ln>
          <a:effectLst/>
        </c:spPr>
      </c:pivotFmt>
      <c:pivotFmt>
        <c:idx val="125"/>
        <c:spPr>
          <a:solidFill>
            <a:schemeClr val="accent4">
              <a:tint val="45000"/>
            </a:schemeClr>
          </a:solidFill>
          <a:ln w="19050">
            <a:solidFill>
              <a:schemeClr val="lt1"/>
            </a:solidFill>
          </a:ln>
          <a:effectLst/>
        </c:spPr>
      </c:pivotFmt>
      <c:pivotFmt>
        <c:idx val="126"/>
        <c:spPr>
          <a:solidFill>
            <a:schemeClr val="accent4">
              <a:tint val="44000"/>
            </a:schemeClr>
          </a:solidFill>
          <a:ln w="19050">
            <a:solidFill>
              <a:schemeClr val="lt1"/>
            </a:solidFill>
          </a:ln>
          <a:effectLst/>
        </c:spPr>
      </c:pivotFmt>
      <c:pivotFmt>
        <c:idx val="127"/>
        <c:spPr>
          <a:solidFill>
            <a:schemeClr val="accent4">
              <a:tint val="43000"/>
            </a:schemeClr>
          </a:solidFill>
          <a:ln w="19050">
            <a:solidFill>
              <a:schemeClr val="lt1"/>
            </a:solidFill>
          </a:ln>
          <a:effectLst/>
        </c:spPr>
      </c:pivotFmt>
      <c:pivotFmt>
        <c:idx val="128"/>
        <c:spPr>
          <a:solidFill>
            <a:schemeClr val="accent4">
              <a:tint val="42000"/>
            </a:schemeClr>
          </a:solidFill>
          <a:ln w="19050">
            <a:solidFill>
              <a:schemeClr val="lt1"/>
            </a:solidFill>
          </a:ln>
          <a:effectLst/>
        </c:spPr>
      </c:pivotFmt>
      <c:pivotFmt>
        <c:idx val="129"/>
        <c:spPr>
          <a:solidFill>
            <a:schemeClr val="accent4">
              <a:tint val="41000"/>
            </a:schemeClr>
          </a:solidFill>
          <a:ln w="19050">
            <a:solidFill>
              <a:schemeClr val="lt1"/>
            </a:solidFill>
          </a:ln>
          <a:effectLst/>
        </c:spPr>
      </c:pivotFmt>
      <c:pivotFmt>
        <c:idx val="130"/>
        <c:spPr>
          <a:solidFill>
            <a:schemeClr val="accent4">
              <a:tint val="40000"/>
            </a:schemeClr>
          </a:solidFill>
          <a:ln w="19050">
            <a:solidFill>
              <a:schemeClr val="lt1"/>
            </a:solidFill>
          </a:ln>
          <a:effectLst/>
        </c:spPr>
      </c:pivotFmt>
      <c:pivotFmt>
        <c:idx val="131"/>
        <c:spPr>
          <a:solidFill>
            <a:schemeClr val="accent4">
              <a:tint val="39000"/>
            </a:schemeClr>
          </a:solidFill>
          <a:ln w="19050">
            <a:solidFill>
              <a:schemeClr val="lt1"/>
            </a:solidFill>
          </a:ln>
          <a:effectLst/>
        </c:spPr>
      </c:pivotFmt>
      <c:pivotFmt>
        <c:idx val="132"/>
        <c:spPr>
          <a:solidFill>
            <a:schemeClr val="accent4">
              <a:tint val="38000"/>
            </a:schemeClr>
          </a:solidFill>
          <a:ln w="19050">
            <a:solidFill>
              <a:schemeClr val="lt1"/>
            </a:solidFill>
          </a:ln>
          <a:effectLst/>
        </c:spPr>
      </c:pivotFmt>
      <c:pivotFmt>
        <c:idx val="133"/>
        <c:spPr>
          <a:solidFill>
            <a:schemeClr val="accent4">
              <a:tint val="37000"/>
            </a:schemeClr>
          </a:solidFill>
          <a:ln w="19050">
            <a:solidFill>
              <a:schemeClr val="lt1"/>
            </a:solidFill>
          </a:ln>
          <a:effectLst/>
        </c:spPr>
      </c:pivotFmt>
      <c:pivotFmt>
        <c:idx val="134"/>
        <c:spPr>
          <a:solidFill>
            <a:schemeClr val="accent4">
              <a:tint val="36000"/>
            </a:schemeClr>
          </a:solidFill>
          <a:ln w="19050">
            <a:solidFill>
              <a:schemeClr val="lt1"/>
            </a:solidFill>
          </a:ln>
          <a:effectLst/>
        </c:spPr>
      </c:pivotFmt>
      <c:pivotFmt>
        <c:idx val="135"/>
        <c:spPr>
          <a:solidFill>
            <a:schemeClr val="accent4">
              <a:tint val="35000"/>
            </a:schemeClr>
          </a:solidFill>
          <a:ln w="19050">
            <a:solidFill>
              <a:schemeClr val="lt1"/>
            </a:solidFill>
          </a:ln>
          <a:effectLst/>
        </c:spPr>
      </c:pivotFmt>
      <c:pivotFmt>
        <c:idx val="136"/>
        <c:spPr>
          <a:solidFill>
            <a:schemeClr val="accent4">
              <a:tint val="34000"/>
            </a:schemeClr>
          </a:solidFill>
          <a:ln w="19050">
            <a:solidFill>
              <a:schemeClr val="lt1"/>
            </a:solidFill>
          </a:ln>
          <a:effectLst/>
        </c:spPr>
      </c:pivotFmt>
      <c:pivotFmt>
        <c:idx val="137"/>
        <c:spPr>
          <a:solidFill>
            <a:schemeClr val="accent4">
              <a:tint val="33000"/>
            </a:schemeClr>
          </a:solidFill>
          <a:ln w="19050">
            <a:solidFill>
              <a:schemeClr val="lt1"/>
            </a:solidFill>
          </a:ln>
          <a:effectLst/>
        </c:spPr>
      </c:pivotFmt>
      <c:pivotFmt>
        <c:idx val="138"/>
        <c:spPr>
          <a:solidFill>
            <a:schemeClr val="accent4">
              <a:tint val="32000"/>
            </a:schemeClr>
          </a:solidFill>
          <a:ln w="19050">
            <a:solidFill>
              <a:schemeClr val="lt1"/>
            </a:solidFill>
          </a:ln>
          <a:effectLst/>
        </c:spPr>
      </c:pivotFmt>
      <c:pivotFmt>
        <c:idx val="139"/>
        <c:spPr>
          <a:solidFill>
            <a:schemeClr val="accent4">
              <a:shade val="31000"/>
            </a:schemeClr>
          </a:solidFill>
          <a:ln w="19050">
            <a:solidFill>
              <a:schemeClr val="lt1"/>
            </a:solidFill>
          </a:ln>
          <a:effectLst/>
        </c:spPr>
      </c:pivotFmt>
      <c:pivotFmt>
        <c:idx val="140"/>
        <c:spPr>
          <a:solidFill>
            <a:schemeClr val="accent4">
              <a:shade val="32000"/>
            </a:schemeClr>
          </a:solidFill>
          <a:ln w="19050">
            <a:solidFill>
              <a:schemeClr val="lt1"/>
            </a:solidFill>
          </a:ln>
          <a:effectLst/>
        </c:spPr>
      </c:pivotFmt>
      <c:pivotFmt>
        <c:idx val="141"/>
        <c:spPr>
          <a:solidFill>
            <a:schemeClr val="accent4">
              <a:shade val="33000"/>
            </a:schemeClr>
          </a:solidFill>
          <a:ln w="19050">
            <a:solidFill>
              <a:schemeClr val="lt1"/>
            </a:solidFill>
          </a:ln>
          <a:effectLst/>
        </c:spPr>
      </c:pivotFmt>
      <c:pivotFmt>
        <c:idx val="142"/>
        <c:spPr>
          <a:solidFill>
            <a:schemeClr val="accent4">
              <a:shade val="34000"/>
            </a:schemeClr>
          </a:solidFill>
          <a:ln w="19050">
            <a:solidFill>
              <a:schemeClr val="lt1"/>
            </a:solidFill>
          </a:ln>
          <a:effectLst/>
        </c:spPr>
      </c:pivotFmt>
      <c:pivotFmt>
        <c:idx val="143"/>
        <c:spPr>
          <a:solidFill>
            <a:schemeClr val="accent4">
              <a:shade val="35000"/>
            </a:schemeClr>
          </a:solidFill>
          <a:ln w="19050">
            <a:solidFill>
              <a:schemeClr val="lt1"/>
            </a:solidFill>
          </a:ln>
          <a:effectLst/>
        </c:spPr>
      </c:pivotFmt>
      <c:pivotFmt>
        <c:idx val="144"/>
        <c:spPr>
          <a:solidFill>
            <a:schemeClr val="accent4">
              <a:shade val="36000"/>
            </a:schemeClr>
          </a:solidFill>
          <a:ln w="19050">
            <a:solidFill>
              <a:schemeClr val="lt1"/>
            </a:solidFill>
          </a:ln>
          <a:effectLst/>
        </c:spPr>
      </c:pivotFmt>
      <c:pivotFmt>
        <c:idx val="145"/>
        <c:spPr>
          <a:solidFill>
            <a:schemeClr val="accent4">
              <a:shade val="37000"/>
            </a:schemeClr>
          </a:solidFill>
          <a:ln w="19050">
            <a:solidFill>
              <a:schemeClr val="lt1"/>
            </a:solidFill>
          </a:ln>
          <a:effectLst/>
        </c:spPr>
      </c:pivotFmt>
      <c:pivotFmt>
        <c:idx val="146"/>
        <c:spPr>
          <a:solidFill>
            <a:schemeClr val="accent4">
              <a:shade val="38000"/>
            </a:schemeClr>
          </a:solidFill>
          <a:ln w="19050">
            <a:solidFill>
              <a:schemeClr val="lt1"/>
            </a:solidFill>
          </a:ln>
          <a:effectLst/>
        </c:spPr>
      </c:pivotFmt>
      <c:pivotFmt>
        <c:idx val="147"/>
        <c:spPr>
          <a:solidFill>
            <a:schemeClr val="accent4">
              <a:shade val="39000"/>
            </a:schemeClr>
          </a:solidFill>
          <a:ln w="19050">
            <a:solidFill>
              <a:schemeClr val="lt1"/>
            </a:solidFill>
          </a:ln>
          <a:effectLst/>
        </c:spPr>
      </c:pivotFmt>
      <c:pivotFmt>
        <c:idx val="148"/>
        <c:spPr>
          <a:solidFill>
            <a:schemeClr val="accent4">
              <a:shade val="40000"/>
            </a:schemeClr>
          </a:solidFill>
          <a:ln w="19050">
            <a:solidFill>
              <a:schemeClr val="lt1"/>
            </a:solidFill>
          </a:ln>
          <a:effectLst/>
        </c:spPr>
      </c:pivotFmt>
      <c:pivotFmt>
        <c:idx val="149"/>
        <c:spPr>
          <a:solidFill>
            <a:schemeClr val="accent4">
              <a:shade val="41000"/>
            </a:schemeClr>
          </a:solidFill>
          <a:ln w="19050">
            <a:solidFill>
              <a:schemeClr val="lt1"/>
            </a:solidFill>
          </a:ln>
          <a:effectLst/>
        </c:spPr>
      </c:pivotFmt>
      <c:pivotFmt>
        <c:idx val="150"/>
        <c:spPr>
          <a:solidFill>
            <a:schemeClr val="accent4">
              <a:shade val="42000"/>
            </a:schemeClr>
          </a:solidFill>
          <a:ln w="19050">
            <a:solidFill>
              <a:schemeClr val="lt1"/>
            </a:solidFill>
          </a:ln>
          <a:effectLst/>
        </c:spPr>
      </c:pivotFmt>
      <c:pivotFmt>
        <c:idx val="151"/>
        <c:spPr>
          <a:solidFill>
            <a:schemeClr val="accent4">
              <a:shade val="43000"/>
            </a:schemeClr>
          </a:solidFill>
          <a:ln w="19050">
            <a:solidFill>
              <a:schemeClr val="lt1"/>
            </a:solidFill>
          </a:ln>
          <a:effectLst/>
        </c:spPr>
      </c:pivotFmt>
      <c:pivotFmt>
        <c:idx val="152"/>
        <c:spPr>
          <a:solidFill>
            <a:schemeClr val="accent4">
              <a:shade val="44000"/>
            </a:schemeClr>
          </a:solidFill>
          <a:ln w="19050">
            <a:solidFill>
              <a:schemeClr val="lt1"/>
            </a:solidFill>
          </a:ln>
          <a:effectLst/>
        </c:spPr>
      </c:pivotFmt>
      <c:pivotFmt>
        <c:idx val="153"/>
        <c:spPr>
          <a:solidFill>
            <a:schemeClr val="accent4">
              <a:shade val="45000"/>
            </a:schemeClr>
          </a:solidFill>
          <a:ln w="19050">
            <a:solidFill>
              <a:schemeClr val="lt1"/>
            </a:solidFill>
          </a:ln>
          <a:effectLst/>
        </c:spPr>
      </c:pivotFmt>
      <c:pivotFmt>
        <c:idx val="154"/>
        <c:spPr>
          <a:solidFill>
            <a:schemeClr val="accent4">
              <a:shade val="46000"/>
            </a:schemeClr>
          </a:solidFill>
          <a:ln w="19050">
            <a:solidFill>
              <a:schemeClr val="lt1"/>
            </a:solidFill>
          </a:ln>
          <a:effectLst/>
        </c:spPr>
      </c:pivotFmt>
      <c:pivotFmt>
        <c:idx val="155"/>
        <c:spPr>
          <a:solidFill>
            <a:schemeClr val="accent4">
              <a:shade val="47000"/>
            </a:schemeClr>
          </a:solidFill>
          <a:ln w="19050">
            <a:solidFill>
              <a:schemeClr val="lt1"/>
            </a:solidFill>
          </a:ln>
          <a:effectLst/>
        </c:spPr>
      </c:pivotFmt>
      <c:pivotFmt>
        <c:idx val="156"/>
        <c:spPr>
          <a:solidFill>
            <a:schemeClr val="accent4">
              <a:shade val="48000"/>
            </a:schemeClr>
          </a:solidFill>
          <a:ln w="19050">
            <a:solidFill>
              <a:schemeClr val="lt1"/>
            </a:solidFill>
          </a:ln>
          <a:effectLst/>
        </c:spPr>
      </c:pivotFmt>
      <c:pivotFmt>
        <c:idx val="157"/>
        <c:spPr>
          <a:solidFill>
            <a:schemeClr val="accent4">
              <a:shade val="49000"/>
            </a:schemeClr>
          </a:solidFill>
          <a:ln w="19050">
            <a:solidFill>
              <a:schemeClr val="lt1"/>
            </a:solidFill>
          </a:ln>
          <a:effectLst/>
        </c:spPr>
      </c:pivotFmt>
      <c:pivotFmt>
        <c:idx val="158"/>
        <c:spPr>
          <a:solidFill>
            <a:schemeClr val="accent4">
              <a:shade val="50000"/>
            </a:schemeClr>
          </a:solidFill>
          <a:ln w="19050">
            <a:solidFill>
              <a:schemeClr val="lt1"/>
            </a:solidFill>
          </a:ln>
          <a:effectLst/>
        </c:spPr>
      </c:pivotFmt>
      <c:pivotFmt>
        <c:idx val="159"/>
        <c:spPr>
          <a:solidFill>
            <a:schemeClr val="accent4">
              <a:shade val="51000"/>
            </a:schemeClr>
          </a:solidFill>
          <a:ln w="19050">
            <a:solidFill>
              <a:schemeClr val="lt1"/>
            </a:solidFill>
          </a:ln>
          <a:effectLst/>
        </c:spPr>
      </c:pivotFmt>
      <c:pivotFmt>
        <c:idx val="160"/>
        <c:spPr>
          <a:solidFill>
            <a:schemeClr val="accent4">
              <a:shade val="52000"/>
            </a:schemeClr>
          </a:solidFill>
          <a:ln w="19050">
            <a:solidFill>
              <a:schemeClr val="lt1"/>
            </a:solidFill>
          </a:ln>
          <a:effectLst/>
        </c:spPr>
      </c:pivotFmt>
      <c:pivotFmt>
        <c:idx val="161"/>
        <c:spPr>
          <a:solidFill>
            <a:schemeClr val="accent4">
              <a:shade val="53000"/>
            </a:schemeClr>
          </a:solidFill>
          <a:ln w="19050">
            <a:solidFill>
              <a:schemeClr val="lt1"/>
            </a:solidFill>
          </a:ln>
          <a:effectLst/>
        </c:spPr>
      </c:pivotFmt>
      <c:pivotFmt>
        <c:idx val="162"/>
        <c:spPr>
          <a:solidFill>
            <a:schemeClr val="accent4">
              <a:shade val="54000"/>
            </a:schemeClr>
          </a:solidFill>
          <a:ln w="19050">
            <a:solidFill>
              <a:schemeClr val="lt1"/>
            </a:solidFill>
          </a:ln>
          <a:effectLst/>
        </c:spPr>
      </c:pivotFmt>
      <c:pivotFmt>
        <c:idx val="163"/>
        <c:spPr>
          <a:solidFill>
            <a:schemeClr val="accent4">
              <a:shade val="55000"/>
            </a:schemeClr>
          </a:solidFill>
          <a:ln w="19050">
            <a:solidFill>
              <a:schemeClr val="lt1"/>
            </a:solidFill>
          </a:ln>
          <a:effectLst/>
        </c:spPr>
      </c:pivotFmt>
      <c:pivotFmt>
        <c:idx val="164"/>
        <c:spPr>
          <a:solidFill>
            <a:schemeClr val="accent4">
              <a:shade val="56000"/>
            </a:schemeClr>
          </a:solidFill>
          <a:ln w="19050">
            <a:solidFill>
              <a:schemeClr val="lt1"/>
            </a:solidFill>
          </a:ln>
          <a:effectLst/>
        </c:spPr>
      </c:pivotFmt>
      <c:pivotFmt>
        <c:idx val="165"/>
        <c:spPr>
          <a:solidFill>
            <a:schemeClr val="accent4">
              <a:shade val="58000"/>
            </a:schemeClr>
          </a:solidFill>
          <a:ln w="19050">
            <a:solidFill>
              <a:schemeClr val="lt1"/>
            </a:solidFill>
          </a:ln>
          <a:effectLst/>
        </c:spPr>
      </c:pivotFmt>
      <c:pivotFmt>
        <c:idx val="166"/>
        <c:spPr>
          <a:solidFill>
            <a:schemeClr val="accent4">
              <a:shade val="59000"/>
            </a:schemeClr>
          </a:solidFill>
          <a:ln w="19050">
            <a:solidFill>
              <a:schemeClr val="lt1"/>
            </a:solidFill>
          </a:ln>
          <a:effectLst/>
        </c:spPr>
      </c:pivotFmt>
      <c:pivotFmt>
        <c:idx val="167"/>
        <c:spPr>
          <a:solidFill>
            <a:schemeClr val="accent4">
              <a:shade val="60000"/>
            </a:schemeClr>
          </a:solidFill>
          <a:ln w="19050">
            <a:solidFill>
              <a:schemeClr val="lt1"/>
            </a:solidFill>
          </a:ln>
          <a:effectLst/>
        </c:spPr>
      </c:pivotFmt>
      <c:pivotFmt>
        <c:idx val="168"/>
        <c:spPr>
          <a:solidFill>
            <a:schemeClr val="accent4">
              <a:shade val="61000"/>
            </a:schemeClr>
          </a:solidFill>
          <a:ln w="19050">
            <a:solidFill>
              <a:schemeClr val="lt1"/>
            </a:solidFill>
          </a:ln>
          <a:effectLst/>
        </c:spPr>
      </c:pivotFmt>
      <c:pivotFmt>
        <c:idx val="169"/>
        <c:spPr>
          <a:solidFill>
            <a:schemeClr val="accent4">
              <a:shade val="62000"/>
            </a:schemeClr>
          </a:solidFill>
          <a:ln w="19050">
            <a:solidFill>
              <a:schemeClr val="lt1"/>
            </a:solidFill>
          </a:ln>
          <a:effectLst/>
        </c:spPr>
      </c:pivotFmt>
      <c:pivotFmt>
        <c:idx val="170"/>
        <c:spPr>
          <a:solidFill>
            <a:schemeClr val="accent4">
              <a:shade val="63000"/>
            </a:schemeClr>
          </a:solidFill>
          <a:ln w="19050">
            <a:solidFill>
              <a:schemeClr val="lt1"/>
            </a:solidFill>
          </a:ln>
          <a:effectLst/>
        </c:spPr>
      </c:pivotFmt>
      <c:pivotFmt>
        <c:idx val="171"/>
        <c:spPr>
          <a:solidFill>
            <a:schemeClr val="accent4">
              <a:shade val="64000"/>
            </a:schemeClr>
          </a:solidFill>
          <a:ln w="19050">
            <a:solidFill>
              <a:schemeClr val="lt1"/>
            </a:solidFill>
          </a:ln>
          <a:effectLst/>
        </c:spPr>
      </c:pivotFmt>
      <c:pivotFmt>
        <c:idx val="172"/>
        <c:spPr>
          <a:solidFill>
            <a:schemeClr val="accent4">
              <a:shade val="65000"/>
            </a:schemeClr>
          </a:solidFill>
          <a:ln w="19050">
            <a:solidFill>
              <a:schemeClr val="lt1"/>
            </a:solidFill>
          </a:ln>
          <a:effectLst/>
        </c:spPr>
      </c:pivotFmt>
      <c:pivotFmt>
        <c:idx val="173"/>
        <c:spPr>
          <a:solidFill>
            <a:schemeClr val="accent4">
              <a:shade val="66000"/>
            </a:schemeClr>
          </a:solidFill>
          <a:ln w="19050">
            <a:solidFill>
              <a:schemeClr val="lt1"/>
            </a:solidFill>
          </a:ln>
          <a:effectLst/>
        </c:spPr>
      </c:pivotFmt>
      <c:pivotFmt>
        <c:idx val="174"/>
        <c:spPr>
          <a:solidFill>
            <a:schemeClr val="accent4">
              <a:shade val="67000"/>
            </a:schemeClr>
          </a:solidFill>
          <a:ln w="19050">
            <a:solidFill>
              <a:schemeClr val="lt1"/>
            </a:solidFill>
          </a:ln>
          <a:effectLst/>
        </c:spPr>
      </c:pivotFmt>
      <c:pivotFmt>
        <c:idx val="175"/>
        <c:spPr>
          <a:solidFill>
            <a:schemeClr val="accent4">
              <a:shade val="68000"/>
            </a:schemeClr>
          </a:solidFill>
          <a:ln w="19050">
            <a:solidFill>
              <a:schemeClr val="lt1"/>
            </a:solidFill>
          </a:ln>
          <a:effectLst/>
        </c:spPr>
      </c:pivotFmt>
      <c:pivotFmt>
        <c:idx val="176"/>
        <c:spPr>
          <a:solidFill>
            <a:schemeClr val="accent4">
              <a:shade val="69000"/>
            </a:schemeClr>
          </a:solidFill>
          <a:ln w="19050">
            <a:solidFill>
              <a:schemeClr val="lt1"/>
            </a:solidFill>
          </a:ln>
          <a:effectLst/>
        </c:spPr>
      </c:pivotFmt>
      <c:pivotFmt>
        <c:idx val="177"/>
        <c:spPr>
          <a:solidFill>
            <a:schemeClr val="accent4">
              <a:shade val="70000"/>
            </a:schemeClr>
          </a:solidFill>
          <a:ln w="19050">
            <a:solidFill>
              <a:schemeClr val="lt1"/>
            </a:solidFill>
          </a:ln>
          <a:effectLst/>
        </c:spPr>
      </c:pivotFmt>
      <c:pivotFmt>
        <c:idx val="178"/>
        <c:spPr>
          <a:solidFill>
            <a:schemeClr val="accent4">
              <a:shade val="71000"/>
            </a:schemeClr>
          </a:solidFill>
          <a:ln w="19050">
            <a:solidFill>
              <a:schemeClr val="lt1"/>
            </a:solidFill>
          </a:ln>
          <a:effectLst/>
        </c:spPr>
      </c:pivotFmt>
      <c:pivotFmt>
        <c:idx val="179"/>
        <c:spPr>
          <a:solidFill>
            <a:schemeClr val="accent4">
              <a:shade val="72000"/>
            </a:schemeClr>
          </a:solidFill>
          <a:ln w="19050">
            <a:solidFill>
              <a:schemeClr val="lt1"/>
            </a:solidFill>
          </a:ln>
          <a:effectLst/>
        </c:spPr>
      </c:pivotFmt>
      <c:pivotFmt>
        <c:idx val="180"/>
        <c:spPr>
          <a:solidFill>
            <a:schemeClr val="accent4">
              <a:shade val="73000"/>
            </a:schemeClr>
          </a:solidFill>
          <a:ln w="19050">
            <a:solidFill>
              <a:schemeClr val="lt1"/>
            </a:solidFill>
          </a:ln>
          <a:effectLst/>
        </c:spPr>
      </c:pivotFmt>
      <c:pivotFmt>
        <c:idx val="181"/>
        <c:spPr>
          <a:solidFill>
            <a:schemeClr val="accent4">
              <a:shade val="74000"/>
            </a:schemeClr>
          </a:solidFill>
          <a:ln w="19050">
            <a:solidFill>
              <a:schemeClr val="lt1"/>
            </a:solidFill>
          </a:ln>
          <a:effectLst/>
        </c:spPr>
      </c:pivotFmt>
      <c:pivotFmt>
        <c:idx val="182"/>
        <c:spPr>
          <a:solidFill>
            <a:schemeClr val="accent4">
              <a:shade val="75000"/>
            </a:schemeClr>
          </a:solidFill>
          <a:ln w="19050">
            <a:solidFill>
              <a:schemeClr val="lt1"/>
            </a:solidFill>
          </a:ln>
          <a:effectLst/>
        </c:spPr>
      </c:pivotFmt>
      <c:pivotFmt>
        <c:idx val="183"/>
        <c:spPr>
          <a:solidFill>
            <a:schemeClr val="accent4">
              <a:shade val="76000"/>
            </a:schemeClr>
          </a:solidFill>
          <a:ln w="19050">
            <a:solidFill>
              <a:schemeClr val="lt1"/>
            </a:solidFill>
          </a:ln>
          <a:effectLst/>
        </c:spPr>
      </c:pivotFmt>
      <c:pivotFmt>
        <c:idx val="184"/>
        <c:spPr>
          <a:solidFill>
            <a:schemeClr val="accent4">
              <a:shade val="77000"/>
            </a:schemeClr>
          </a:solidFill>
          <a:ln w="19050">
            <a:solidFill>
              <a:schemeClr val="lt1"/>
            </a:solidFill>
          </a:ln>
          <a:effectLst/>
        </c:spPr>
      </c:pivotFmt>
      <c:pivotFmt>
        <c:idx val="185"/>
        <c:spPr>
          <a:solidFill>
            <a:schemeClr val="accent4">
              <a:shade val="78000"/>
            </a:schemeClr>
          </a:solidFill>
          <a:ln w="19050">
            <a:solidFill>
              <a:schemeClr val="lt1"/>
            </a:solidFill>
          </a:ln>
          <a:effectLst/>
        </c:spPr>
      </c:pivotFmt>
      <c:pivotFmt>
        <c:idx val="186"/>
        <c:spPr>
          <a:solidFill>
            <a:schemeClr val="accent4">
              <a:shade val="79000"/>
            </a:schemeClr>
          </a:solidFill>
          <a:ln w="19050">
            <a:solidFill>
              <a:schemeClr val="lt1"/>
            </a:solidFill>
          </a:ln>
          <a:effectLst/>
        </c:spPr>
      </c:pivotFmt>
      <c:pivotFmt>
        <c:idx val="187"/>
        <c:spPr>
          <a:solidFill>
            <a:schemeClr val="accent4">
              <a:shade val="80000"/>
            </a:schemeClr>
          </a:solidFill>
          <a:ln w="19050">
            <a:solidFill>
              <a:schemeClr val="lt1"/>
            </a:solidFill>
          </a:ln>
          <a:effectLst/>
        </c:spPr>
      </c:pivotFmt>
      <c:pivotFmt>
        <c:idx val="188"/>
        <c:spPr>
          <a:solidFill>
            <a:schemeClr val="accent4">
              <a:shade val="81000"/>
            </a:schemeClr>
          </a:solidFill>
          <a:ln w="19050">
            <a:solidFill>
              <a:schemeClr val="lt1"/>
            </a:solidFill>
          </a:ln>
          <a:effectLst/>
        </c:spPr>
      </c:pivotFmt>
      <c:pivotFmt>
        <c:idx val="189"/>
        <c:spPr>
          <a:solidFill>
            <a:schemeClr val="accent4">
              <a:shade val="82000"/>
            </a:schemeClr>
          </a:solidFill>
          <a:ln w="19050">
            <a:solidFill>
              <a:schemeClr val="lt1"/>
            </a:solidFill>
          </a:ln>
          <a:effectLst/>
        </c:spPr>
      </c:pivotFmt>
      <c:pivotFmt>
        <c:idx val="190"/>
        <c:spPr>
          <a:solidFill>
            <a:schemeClr val="accent4">
              <a:shade val="83000"/>
            </a:schemeClr>
          </a:solidFill>
          <a:ln w="19050">
            <a:solidFill>
              <a:schemeClr val="lt1"/>
            </a:solidFill>
          </a:ln>
          <a:effectLst/>
        </c:spPr>
      </c:pivotFmt>
      <c:pivotFmt>
        <c:idx val="191"/>
        <c:spPr>
          <a:solidFill>
            <a:schemeClr val="accent4">
              <a:shade val="84000"/>
            </a:schemeClr>
          </a:solidFill>
          <a:ln w="19050">
            <a:solidFill>
              <a:schemeClr val="lt1"/>
            </a:solidFill>
          </a:ln>
          <a:effectLst/>
        </c:spPr>
      </c:pivotFmt>
      <c:pivotFmt>
        <c:idx val="192"/>
        <c:spPr>
          <a:solidFill>
            <a:schemeClr val="accent4">
              <a:shade val="86000"/>
            </a:schemeClr>
          </a:solidFill>
          <a:ln w="19050">
            <a:solidFill>
              <a:schemeClr val="lt1"/>
            </a:solidFill>
          </a:ln>
          <a:effectLst/>
        </c:spPr>
      </c:pivotFmt>
      <c:pivotFmt>
        <c:idx val="193"/>
        <c:spPr>
          <a:solidFill>
            <a:schemeClr val="accent4">
              <a:shade val="87000"/>
            </a:schemeClr>
          </a:solidFill>
          <a:ln w="19050">
            <a:solidFill>
              <a:schemeClr val="lt1"/>
            </a:solidFill>
          </a:ln>
          <a:effectLst/>
        </c:spPr>
      </c:pivotFmt>
      <c:pivotFmt>
        <c:idx val="194"/>
        <c:spPr>
          <a:solidFill>
            <a:schemeClr val="accent4">
              <a:shade val="88000"/>
            </a:schemeClr>
          </a:solidFill>
          <a:ln w="19050">
            <a:solidFill>
              <a:schemeClr val="lt1"/>
            </a:solidFill>
          </a:ln>
          <a:effectLst/>
        </c:spPr>
      </c:pivotFmt>
      <c:pivotFmt>
        <c:idx val="195"/>
        <c:spPr>
          <a:solidFill>
            <a:schemeClr val="accent4">
              <a:shade val="89000"/>
            </a:schemeClr>
          </a:solidFill>
          <a:ln w="19050">
            <a:solidFill>
              <a:schemeClr val="lt1"/>
            </a:solidFill>
          </a:ln>
          <a:effectLst/>
        </c:spPr>
      </c:pivotFmt>
      <c:pivotFmt>
        <c:idx val="196"/>
        <c:spPr>
          <a:solidFill>
            <a:schemeClr val="accent4">
              <a:shade val="90000"/>
            </a:schemeClr>
          </a:solidFill>
          <a:ln w="19050">
            <a:solidFill>
              <a:schemeClr val="lt1"/>
            </a:solidFill>
          </a:ln>
          <a:effectLst/>
        </c:spPr>
      </c:pivotFmt>
      <c:pivotFmt>
        <c:idx val="197"/>
        <c:spPr>
          <a:solidFill>
            <a:schemeClr val="accent4">
              <a:shade val="91000"/>
            </a:schemeClr>
          </a:solidFill>
          <a:ln w="19050">
            <a:solidFill>
              <a:schemeClr val="lt1"/>
            </a:solidFill>
          </a:ln>
          <a:effectLst/>
        </c:spPr>
      </c:pivotFmt>
      <c:pivotFmt>
        <c:idx val="198"/>
        <c:spPr>
          <a:solidFill>
            <a:schemeClr val="accent4">
              <a:shade val="92000"/>
            </a:schemeClr>
          </a:solidFill>
          <a:ln w="19050">
            <a:solidFill>
              <a:schemeClr val="lt1"/>
            </a:solidFill>
          </a:ln>
          <a:effectLst/>
        </c:spPr>
      </c:pivotFmt>
      <c:pivotFmt>
        <c:idx val="199"/>
        <c:spPr>
          <a:solidFill>
            <a:schemeClr val="accent4">
              <a:shade val="93000"/>
            </a:schemeClr>
          </a:solidFill>
          <a:ln w="19050">
            <a:solidFill>
              <a:schemeClr val="lt1"/>
            </a:solidFill>
          </a:ln>
          <a:effectLst/>
        </c:spPr>
      </c:pivotFmt>
      <c:pivotFmt>
        <c:idx val="200"/>
        <c:spPr>
          <a:solidFill>
            <a:schemeClr val="accent4">
              <a:shade val="94000"/>
            </a:schemeClr>
          </a:solidFill>
          <a:ln w="19050">
            <a:solidFill>
              <a:schemeClr val="lt1"/>
            </a:solidFill>
          </a:ln>
          <a:effectLst/>
        </c:spPr>
      </c:pivotFmt>
      <c:pivotFmt>
        <c:idx val="201"/>
        <c:spPr>
          <a:solidFill>
            <a:schemeClr val="accent4">
              <a:shade val="95000"/>
            </a:schemeClr>
          </a:solidFill>
          <a:ln w="19050">
            <a:solidFill>
              <a:schemeClr val="lt1"/>
            </a:solidFill>
          </a:ln>
          <a:effectLst/>
        </c:spPr>
      </c:pivotFmt>
      <c:pivotFmt>
        <c:idx val="202"/>
        <c:spPr>
          <a:solidFill>
            <a:schemeClr val="accent4">
              <a:shade val="96000"/>
            </a:schemeClr>
          </a:solidFill>
          <a:ln w="19050">
            <a:solidFill>
              <a:schemeClr val="lt1"/>
            </a:solidFill>
          </a:ln>
          <a:effectLst/>
        </c:spPr>
      </c:pivotFmt>
      <c:pivotFmt>
        <c:idx val="203"/>
        <c:spPr>
          <a:solidFill>
            <a:schemeClr val="accent4">
              <a:shade val="97000"/>
            </a:schemeClr>
          </a:solidFill>
          <a:ln w="19050">
            <a:solidFill>
              <a:schemeClr val="lt1"/>
            </a:solidFill>
          </a:ln>
          <a:effectLst/>
        </c:spPr>
      </c:pivotFmt>
      <c:pivotFmt>
        <c:idx val="204"/>
        <c:spPr>
          <a:solidFill>
            <a:schemeClr val="accent4">
              <a:shade val="98000"/>
            </a:schemeClr>
          </a:solidFill>
          <a:ln w="19050">
            <a:solidFill>
              <a:schemeClr val="lt1"/>
            </a:solidFill>
          </a:ln>
          <a:effectLst/>
        </c:spPr>
      </c:pivotFmt>
      <c:pivotFmt>
        <c:idx val="205"/>
        <c:spPr>
          <a:solidFill>
            <a:schemeClr val="accent4">
              <a:shade val="99000"/>
            </a:schemeClr>
          </a:solidFill>
          <a:ln w="19050">
            <a:solidFill>
              <a:schemeClr val="lt1"/>
            </a:solidFill>
          </a:ln>
          <a:effectLst/>
        </c:spPr>
      </c:pivotFmt>
      <c:pivotFmt>
        <c:idx val="206"/>
        <c:spPr>
          <a:solidFill>
            <a:schemeClr val="accent4"/>
          </a:solidFill>
          <a:ln w="19050">
            <a:solidFill>
              <a:schemeClr val="lt1"/>
            </a:solidFill>
          </a:ln>
          <a:effectLst/>
        </c:spPr>
      </c:pivotFmt>
      <c:pivotFmt>
        <c:idx val="207"/>
        <c:spPr>
          <a:solidFill>
            <a:schemeClr val="accent4">
              <a:tint val="99000"/>
            </a:schemeClr>
          </a:solidFill>
          <a:ln w="19050">
            <a:solidFill>
              <a:schemeClr val="lt1"/>
            </a:solidFill>
          </a:ln>
          <a:effectLst/>
        </c:spPr>
      </c:pivotFmt>
      <c:pivotFmt>
        <c:idx val="208"/>
        <c:spPr>
          <a:solidFill>
            <a:schemeClr val="accent4">
              <a:tint val="98000"/>
            </a:schemeClr>
          </a:solidFill>
          <a:ln w="19050">
            <a:solidFill>
              <a:schemeClr val="lt1"/>
            </a:solidFill>
          </a:ln>
          <a:effectLst/>
        </c:spPr>
      </c:pivotFmt>
      <c:pivotFmt>
        <c:idx val="209"/>
        <c:spPr>
          <a:solidFill>
            <a:schemeClr val="accent4">
              <a:tint val="97000"/>
            </a:schemeClr>
          </a:solidFill>
          <a:ln w="19050">
            <a:solidFill>
              <a:schemeClr val="lt1"/>
            </a:solidFill>
          </a:ln>
          <a:effectLst/>
        </c:spPr>
      </c:pivotFmt>
      <c:pivotFmt>
        <c:idx val="210"/>
        <c:spPr>
          <a:solidFill>
            <a:schemeClr val="accent4">
              <a:tint val="96000"/>
            </a:schemeClr>
          </a:solidFill>
          <a:ln w="19050">
            <a:solidFill>
              <a:schemeClr val="lt1"/>
            </a:solidFill>
          </a:ln>
          <a:effectLst/>
        </c:spPr>
      </c:pivotFmt>
      <c:pivotFmt>
        <c:idx val="211"/>
        <c:spPr>
          <a:solidFill>
            <a:schemeClr val="accent4">
              <a:tint val="95000"/>
            </a:schemeClr>
          </a:solidFill>
          <a:ln w="19050">
            <a:solidFill>
              <a:schemeClr val="lt1"/>
            </a:solidFill>
          </a:ln>
          <a:effectLst/>
        </c:spPr>
      </c:pivotFmt>
      <c:pivotFmt>
        <c:idx val="212"/>
        <c:spPr>
          <a:solidFill>
            <a:schemeClr val="accent4">
              <a:tint val="94000"/>
            </a:schemeClr>
          </a:solidFill>
          <a:ln w="19050">
            <a:solidFill>
              <a:schemeClr val="lt1"/>
            </a:solidFill>
          </a:ln>
          <a:effectLst/>
        </c:spPr>
      </c:pivotFmt>
      <c:pivotFmt>
        <c:idx val="213"/>
        <c:spPr>
          <a:solidFill>
            <a:schemeClr val="accent4">
              <a:tint val="93000"/>
            </a:schemeClr>
          </a:solidFill>
          <a:ln w="19050">
            <a:solidFill>
              <a:schemeClr val="lt1"/>
            </a:solidFill>
          </a:ln>
          <a:effectLst/>
        </c:spPr>
      </c:pivotFmt>
      <c:pivotFmt>
        <c:idx val="214"/>
        <c:spPr>
          <a:solidFill>
            <a:schemeClr val="accent4">
              <a:tint val="92000"/>
            </a:schemeClr>
          </a:solidFill>
          <a:ln w="19050">
            <a:solidFill>
              <a:schemeClr val="lt1"/>
            </a:solidFill>
          </a:ln>
          <a:effectLst/>
        </c:spPr>
      </c:pivotFmt>
      <c:pivotFmt>
        <c:idx val="215"/>
        <c:spPr>
          <a:solidFill>
            <a:schemeClr val="accent4">
              <a:tint val="91000"/>
            </a:schemeClr>
          </a:solidFill>
          <a:ln w="19050">
            <a:solidFill>
              <a:schemeClr val="lt1"/>
            </a:solidFill>
          </a:ln>
          <a:effectLst/>
        </c:spPr>
      </c:pivotFmt>
      <c:pivotFmt>
        <c:idx val="216"/>
        <c:spPr>
          <a:solidFill>
            <a:schemeClr val="accent4">
              <a:tint val="90000"/>
            </a:schemeClr>
          </a:solidFill>
          <a:ln w="19050">
            <a:solidFill>
              <a:schemeClr val="lt1"/>
            </a:solidFill>
          </a:ln>
          <a:effectLst/>
        </c:spPr>
      </c:pivotFmt>
      <c:pivotFmt>
        <c:idx val="217"/>
        <c:spPr>
          <a:solidFill>
            <a:schemeClr val="accent4">
              <a:tint val="89000"/>
            </a:schemeClr>
          </a:solidFill>
          <a:ln w="19050">
            <a:solidFill>
              <a:schemeClr val="lt1"/>
            </a:solidFill>
          </a:ln>
          <a:effectLst/>
        </c:spPr>
      </c:pivotFmt>
      <c:pivotFmt>
        <c:idx val="218"/>
        <c:spPr>
          <a:solidFill>
            <a:schemeClr val="accent4">
              <a:tint val="88000"/>
            </a:schemeClr>
          </a:solidFill>
          <a:ln w="19050">
            <a:solidFill>
              <a:schemeClr val="lt1"/>
            </a:solidFill>
          </a:ln>
          <a:effectLst/>
        </c:spPr>
      </c:pivotFmt>
      <c:pivotFmt>
        <c:idx val="219"/>
        <c:spPr>
          <a:solidFill>
            <a:schemeClr val="accent4">
              <a:tint val="86000"/>
            </a:schemeClr>
          </a:solidFill>
          <a:ln w="19050">
            <a:solidFill>
              <a:schemeClr val="lt1"/>
            </a:solidFill>
          </a:ln>
          <a:effectLst/>
        </c:spPr>
      </c:pivotFmt>
      <c:pivotFmt>
        <c:idx val="220"/>
        <c:spPr>
          <a:solidFill>
            <a:schemeClr val="accent4">
              <a:tint val="85000"/>
            </a:schemeClr>
          </a:solidFill>
          <a:ln w="19050">
            <a:solidFill>
              <a:schemeClr val="lt1"/>
            </a:solidFill>
          </a:ln>
          <a:effectLst/>
        </c:spPr>
      </c:pivotFmt>
      <c:pivotFmt>
        <c:idx val="221"/>
        <c:spPr>
          <a:solidFill>
            <a:schemeClr val="accent4">
              <a:tint val="84000"/>
            </a:schemeClr>
          </a:solidFill>
          <a:ln w="19050">
            <a:solidFill>
              <a:schemeClr val="lt1"/>
            </a:solidFill>
          </a:ln>
          <a:effectLst/>
        </c:spPr>
      </c:pivotFmt>
      <c:pivotFmt>
        <c:idx val="222"/>
        <c:spPr>
          <a:solidFill>
            <a:schemeClr val="accent4">
              <a:tint val="83000"/>
            </a:schemeClr>
          </a:solidFill>
          <a:ln w="19050">
            <a:solidFill>
              <a:schemeClr val="lt1"/>
            </a:solidFill>
          </a:ln>
          <a:effectLst/>
        </c:spPr>
      </c:pivotFmt>
      <c:pivotFmt>
        <c:idx val="223"/>
        <c:spPr>
          <a:solidFill>
            <a:schemeClr val="accent4">
              <a:tint val="82000"/>
            </a:schemeClr>
          </a:solidFill>
          <a:ln w="19050">
            <a:solidFill>
              <a:schemeClr val="lt1"/>
            </a:solidFill>
          </a:ln>
          <a:effectLst/>
        </c:spPr>
      </c:pivotFmt>
      <c:pivotFmt>
        <c:idx val="224"/>
        <c:spPr>
          <a:solidFill>
            <a:schemeClr val="accent4">
              <a:tint val="81000"/>
            </a:schemeClr>
          </a:solidFill>
          <a:ln w="19050">
            <a:solidFill>
              <a:schemeClr val="lt1"/>
            </a:solidFill>
          </a:ln>
          <a:effectLst/>
        </c:spPr>
      </c:pivotFmt>
      <c:pivotFmt>
        <c:idx val="225"/>
        <c:spPr>
          <a:solidFill>
            <a:schemeClr val="accent4"/>
          </a:solidFill>
          <a:ln w="19050">
            <a:solidFill>
              <a:schemeClr val="lt1"/>
            </a:solidFill>
          </a:ln>
          <a:effectLst/>
        </c:spPr>
      </c:pivotFmt>
      <c:pivotFmt>
        <c:idx val="226"/>
        <c:spPr>
          <a:solidFill>
            <a:schemeClr val="accent4">
              <a:tint val="79000"/>
            </a:schemeClr>
          </a:solidFill>
          <a:ln w="19050">
            <a:solidFill>
              <a:schemeClr val="lt1"/>
            </a:solidFill>
          </a:ln>
          <a:effectLst/>
        </c:spPr>
      </c:pivotFmt>
      <c:pivotFmt>
        <c:idx val="227"/>
        <c:spPr>
          <a:solidFill>
            <a:schemeClr val="accent4">
              <a:tint val="78000"/>
            </a:schemeClr>
          </a:solidFill>
          <a:ln w="19050">
            <a:solidFill>
              <a:schemeClr val="lt1"/>
            </a:solidFill>
          </a:ln>
          <a:effectLst/>
        </c:spPr>
      </c:pivotFmt>
      <c:pivotFmt>
        <c:idx val="228"/>
        <c:spPr>
          <a:solidFill>
            <a:schemeClr val="accent4">
              <a:tint val="77000"/>
            </a:schemeClr>
          </a:solidFill>
          <a:ln w="19050">
            <a:solidFill>
              <a:schemeClr val="lt1"/>
            </a:solidFill>
          </a:ln>
          <a:effectLst/>
        </c:spPr>
      </c:pivotFmt>
      <c:pivotFmt>
        <c:idx val="229"/>
        <c:spPr>
          <a:solidFill>
            <a:schemeClr val="accent4">
              <a:tint val="76000"/>
            </a:schemeClr>
          </a:solidFill>
          <a:ln w="19050">
            <a:solidFill>
              <a:schemeClr val="lt1"/>
            </a:solidFill>
          </a:ln>
          <a:effectLst/>
        </c:spPr>
      </c:pivotFmt>
      <c:pivotFmt>
        <c:idx val="230"/>
        <c:spPr>
          <a:solidFill>
            <a:schemeClr val="accent4">
              <a:tint val="75000"/>
            </a:schemeClr>
          </a:solidFill>
          <a:ln w="19050">
            <a:solidFill>
              <a:schemeClr val="lt1"/>
            </a:solidFill>
          </a:ln>
          <a:effectLst/>
        </c:spPr>
      </c:pivotFmt>
      <c:pivotFmt>
        <c:idx val="231"/>
        <c:spPr>
          <a:solidFill>
            <a:schemeClr val="accent4">
              <a:tint val="74000"/>
            </a:schemeClr>
          </a:solidFill>
          <a:ln w="19050">
            <a:solidFill>
              <a:schemeClr val="lt1"/>
            </a:solidFill>
          </a:ln>
          <a:effectLst/>
        </c:spPr>
      </c:pivotFmt>
      <c:pivotFmt>
        <c:idx val="232"/>
        <c:spPr>
          <a:solidFill>
            <a:schemeClr val="accent4">
              <a:tint val="73000"/>
            </a:schemeClr>
          </a:solidFill>
          <a:ln w="19050">
            <a:solidFill>
              <a:schemeClr val="lt1"/>
            </a:solidFill>
          </a:ln>
          <a:effectLst/>
        </c:spPr>
      </c:pivotFmt>
      <c:pivotFmt>
        <c:idx val="233"/>
        <c:spPr>
          <a:solidFill>
            <a:schemeClr val="accent4">
              <a:tint val="72000"/>
            </a:schemeClr>
          </a:solidFill>
          <a:ln w="19050">
            <a:solidFill>
              <a:schemeClr val="lt1"/>
            </a:solidFill>
          </a:ln>
          <a:effectLst/>
        </c:spPr>
      </c:pivotFmt>
      <c:pivotFmt>
        <c:idx val="234"/>
        <c:spPr>
          <a:solidFill>
            <a:schemeClr val="accent4">
              <a:tint val="71000"/>
            </a:schemeClr>
          </a:solidFill>
          <a:ln w="19050">
            <a:solidFill>
              <a:schemeClr val="lt1"/>
            </a:solidFill>
          </a:ln>
          <a:effectLst/>
        </c:spPr>
      </c:pivotFmt>
      <c:pivotFmt>
        <c:idx val="235"/>
        <c:spPr>
          <a:solidFill>
            <a:schemeClr val="accent4">
              <a:tint val="70000"/>
            </a:schemeClr>
          </a:solidFill>
          <a:ln w="19050">
            <a:solidFill>
              <a:schemeClr val="lt1"/>
            </a:solidFill>
          </a:ln>
          <a:effectLst/>
        </c:spPr>
      </c:pivotFmt>
      <c:pivotFmt>
        <c:idx val="236"/>
        <c:spPr>
          <a:solidFill>
            <a:schemeClr val="accent4">
              <a:tint val="69000"/>
            </a:schemeClr>
          </a:solidFill>
          <a:ln w="19050">
            <a:solidFill>
              <a:schemeClr val="lt1"/>
            </a:solidFill>
          </a:ln>
          <a:effectLst/>
        </c:spPr>
      </c:pivotFmt>
      <c:pivotFmt>
        <c:idx val="237"/>
        <c:spPr>
          <a:solidFill>
            <a:schemeClr val="accent4">
              <a:tint val="68000"/>
            </a:schemeClr>
          </a:solidFill>
          <a:ln w="19050">
            <a:solidFill>
              <a:schemeClr val="lt1"/>
            </a:solidFill>
          </a:ln>
          <a:effectLst/>
        </c:spPr>
      </c:pivotFmt>
      <c:pivotFmt>
        <c:idx val="238"/>
        <c:spPr>
          <a:solidFill>
            <a:schemeClr val="accent4">
              <a:tint val="67000"/>
            </a:schemeClr>
          </a:solidFill>
          <a:ln w="19050">
            <a:solidFill>
              <a:schemeClr val="lt1"/>
            </a:solidFill>
          </a:ln>
          <a:effectLst/>
        </c:spPr>
      </c:pivotFmt>
      <c:pivotFmt>
        <c:idx val="239"/>
        <c:spPr>
          <a:solidFill>
            <a:schemeClr val="accent4">
              <a:tint val="66000"/>
            </a:schemeClr>
          </a:solidFill>
          <a:ln w="19050">
            <a:solidFill>
              <a:schemeClr val="lt1"/>
            </a:solidFill>
          </a:ln>
          <a:effectLst/>
        </c:spPr>
      </c:pivotFmt>
      <c:pivotFmt>
        <c:idx val="240"/>
        <c:spPr>
          <a:solidFill>
            <a:schemeClr val="accent4">
              <a:tint val="65000"/>
            </a:schemeClr>
          </a:solidFill>
          <a:ln w="19050">
            <a:solidFill>
              <a:schemeClr val="lt1"/>
            </a:solidFill>
          </a:ln>
          <a:effectLst/>
        </c:spPr>
      </c:pivotFmt>
      <c:pivotFmt>
        <c:idx val="241"/>
        <c:spPr>
          <a:solidFill>
            <a:schemeClr val="accent4">
              <a:tint val="64000"/>
            </a:schemeClr>
          </a:solidFill>
          <a:ln w="19050">
            <a:solidFill>
              <a:schemeClr val="lt1"/>
            </a:solidFill>
          </a:ln>
          <a:effectLst/>
        </c:spPr>
      </c:pivotFmt>
      <c:pivotFmt>
        <c:idx val="242"/>
        <c:spPr>
          <a:solidFill>
            <a:schemeClr val="accent4">
              <a:tint val="63000"/>
            </a:schemeClr>
          </a:solidFill>
          <a:ln w="19050">
            <a:solidFill>
              <a:schemeClr val="lt1"/>
            </a:solidFill>
          </a:ln>
          <a:effectLst/>
        </c:spPr>
      </c:pivotFmt>
      <c:pivotFmt>
        <c:idx val="243"/>
        <c:spPr>
          <a:solidFill>
            <a:schemeClr val="accent4">
              <a:tint val="62000"/>
            </a:schemeClr>
          </a:solidFill>
          <a:ln w="19050">
            <a:solidFill>
              <a:schemeClr val="lt1"/>
            </a:solidFill>
          </a:ln>
          <a:effectLst/>
        </c:spPr>
      </c:pivotFmt>
      <c:pivotFmt>
        <c:idx val="244"/>
        <c:spPr>
          <a:solidFill>
            <a:schemeClr val="accent4">
              <a:tint val="61000"/>
            </a:schemeClr>
          </a:solidFill>
          <a:ln w="19050">
            <a:solidFill>
              <a:schemeClr val="lt1"/>
            </a:solidFill>
          </a:ln>
          <a:effectLst/>
        </c:spPr>
      </c:pivotFmt>
      <c:pivotFmt>
        <c:idx val="245"/>
        <c:spPr>
          <a:solidFill>
            <a:schemeClr val="accent4">
              <a:tint val="60000"/>
            </a:schemeClr>
          </a:solidFill>
          <a:ln w="19050">
            <a:solidFill>
              <a:schemeClr val="lt1"/>
            </a:solidFill>
          </a:ln>
          <a:effectLst/>
        </c:spPr>
      </c:pivotFmt>
      <c:pivotFmt>
        <c:idx val="246"/>
        <c:spPr>
          <a:solidFill>
            <a:schemeClr val="accent4">
              <a:tint val="58000"/>
            </a:schemeClr>
          </a:solidFill>
          <a:ln w="19050">
            <a:solidFill>
              <a:schemeClr val="lt1"/>
            </a:solidFill>
          </a:ln>
          <a:effectLst/>
        </c:spPr>
      </c:pivotFmt>
      <c:pivotFmt>
        <c:idx val="247"/>
        <c:spPr>
          <a:solidFill>
            <a:schemeClr val="accent4">
              <a:tint val="57000"/>
            </a:schemeClr>
          </a:solidFill>
          <a:ln w="19050">
            <a:solidFill>
              <a:schemeClr val="lt1"/>
            </a:solidFill>
          </a:ln>
          <a:effectLst/>
        </c:spPr>
      </c:pivotFmt>
      <c:pivotFmt>
        <c:idx val="248"/>
        <c:spPr>
          <a:solidFill>
            <a:schemeClr val="accent4">
              <a:tint val="56000"/>
            </a:schemeClr>
          </a:solidFill>
          <a:ln w="19050">
            <a:solidFill>
              <a:schemeClr val="lt1"/>
            </a:solidFill>
          </a:ln>
          <a:effectLst/>
        </c:spPr>
      </c:pivotFmt>
      <c:pivotFmt>
        <c:idx val="249"/>
        <c:spPr>
          <a:solidFill>
            <a:schemeClr val="accent4">
              <a:tint val="55000"/>
            </a:schemeClr>
          </a:solidFill>
          <a:ln w="19050">
            <a:solidFill>
              <a:schemeClr val="lt1"/>
            </a:solidFill>
          </a:ln>
          <a:effectLst/>
        </c:spPr>
      </c:pivotFmt>
      <c:pivotFmt>
        <c:idx val="250"/>
        <c:spPr>
          <a:solidFill>
            <a:schemeClr val="accent4">
              <a:tint val="54000"/>
            </a:schemeClr>
          </a:solidFill>
          <a:ln w="19050">
            <a:solidFill>
              <a:schemeClr val="lt1"/>
            </a:solidFill>
          </a:ln>
          <a:effectLst/>
        </c:spPr>
      </c:pivotFmt>
      <c:pivotFmt>
        <c:idx val="251"/>
        <c:spPr>
          <a:solidFill>
            <a:schemeClr val="accent4">
              <a:tint val="53000"/>
            </a:schemeClr>
          </a:solidFill>
          <a:ln w="19050">
            <a:solidFill>
              <a:schemeClr val="lt1"/>
            </a:solidFill>
          </a:ln>
          <a:effectLst/>
        </c:spPr>
      </c:pivotFmt>
      <c:pivotFmt>
        <c:idx val="252"/>
        <c:spPr>
          <a:solidFill>
            <a:schemeClr val="accent4">
              <a:tint val="52000"/>
            </a:schemeClr>
          </a:solidFill>
          <a:ln w="19050">
            <a:solidFill>
              <a:schemeClr val="lt1"/>
            </a:solidFill>
          </a:ln>
          <a:effectLst/>
        </c:spPr>
      </c:pivotFmt>
      <c:pivotFmt>
        <c:idx val="253"/>
        <c:spPr>
          <a:solidFill>
            <a:schemeClr val="accent4">
              <a:tint val="51000"/>
            </a:schemeClr>
          </a:solidFill>
          <a:ln w="19050">
            <a:solidFill>
              <a:schemeClr val="lt1"/>
            </a:solidFill>
          </a:ln>
          <a:effectLst/>
        </c:spPr>
      </c:pivotFmt>
      <c:pivotFmt>
        <c:idx val="254"/>
        <c:spPr>
          <a:solidFill>
            <a:schemeClr val="accent4"/>
          </a:solidFill>
          <a:ln w="19050">
            <a:solidFill>
              <a:schemeClr val="lt1"/>
            </a:solidFill>
          </a:ln>
          <a:effectLst/>
        </c:spPr>
      </c:pivotFmt>
      <c:pivotFmt>
        <c:idx val="255"/>
        <c:spPr>
          <a:solidFill>
            <a:schemeClr val="accent4">
              <a:tint val="49000"/>
            </a:schemeClr>
          </a:solidFill>
          <a:ln w="19050">
            <a:solidFill>
              <a:schemeClr val="lt1"/>
            </a:solidFill>
          </a:ln>
          <a:effectLst/>
        </c:spPr>
      </c:pivotFmt>
      <c:pivotFmt>
        <c:idx val="256"/>
        <c:spPr>
          <a:solidFill>
            <a:schemeClr val="accent4">
              <a:tint val="48000"/>
            </a:schemeClr>
          </a:solidFill>
          <a:ln w="19050">
            <a:solidFill>
              <a:schemeClr val="lt1"/>
            </a:solidFill>
          </a:ln>
          <a:effectLst/>
        </c:spPr>
      </c:pivotFmt>
      <c:pivotFmt>
        <c:idx val="257"/>
        <c:spPr>
          <a:solidFill>
            <a:schemeClr val="accent4">
              <a:tint val="47000"/>
            </a:schemeClr>
          </a:solidFill>
          <a:ln w="19050">
            <a:solidFill>
              <a:schemeClr val="lt1"/>
            </a:solidFill>
          </a:ln>
          <a:effectLst/>
        </c:spPr>
      </c:pivotFmt>
      <c:pivotFmt>
        <c:idx val="258"/>
        <c:spPr>
          <a:solidFill>
            <a:schemeClr val="accent4">
              <a:tint val="46000"/>
            </a:schemeClr>
          </a:solidFill>
          <a:ln w="19050">
            <a:solidFill>
              <a:schemeClr val="lt1"/>
            </a:solidFill>
          </a:ln>
          <a:effectLst/>
        </c:spPr>
      </c:pivotFmt>
      <c:pivotFmt>
        <c:idx val="259"/>
        <c:spPr>
          <a:solidFill>
            <a:schemeClr val="accent4">
              <a:tint val="45000"/>
            </a:schemeClr>
          </a:solidFill>
          <a:ln w="19050">
            <a:solidFill>
              <a:schemeClr val="lt1"/>
            </a:solidFill>
          </a:ln>
          <a:effectLst/>
        </c:spPr>
      </c:pivotFmt>
      <c:pivotFmt>
        <c:idx val="260"/>
        <c:spPr>
          <a:solidFill>
            <a:schemeClr val="accent4">
              <a:tint val="44000"/>
            </a:schemeClr>
          </a:solidFill>
          <a:ln w="19050">
            <a:solidFill>
              <a:schemeClr val="lt1"/>
            </a:solidFill>
          </a:ln>
          <a:effectLst/>
        </c:spPr>
      </c:pivotFmt>
      <c:pivotFmt>
        <c:idx val="261"/>
        <c:spPr>
          <a:solidFill>
            <a:schemeClr val="accent4">
              <a:tint val="43000"/>
            </a:schemeClr>
          </a:solidFill>
          <a:ln w="19050">
            <a:solidFill>
              <a:schemeClr val="lt1"/>
            </a:solidFill>
          </a:ln>
          <a:effectLst/>
        </c:spPr>
      </c:pivotFmt>
      <c:pivotFmt>
        <c:idx val="262"/>
        <c:spPr>
          <a:solidFill>
            <a:schemeClr val="accent4">
              <a:tint val="42000"/>
            </a:schemeClr>
          </a:solidFill>
          <a:ln w="19050">
            <a:solidFill>
              <a:schemeClr val="lt1"/>
            </a:solidFill>
          </a:ln>
          <a:effectLst/>
        </c:spPr>
      </c:pivotFmt>
      <c:pivotFmt>
        <c:idx val="263"/>
        <c:spPr>
          <a:solidFill>
            <a:schemeClr val="accent4">
              <a:tint val="41000"/>
            </a:schemeClr>
          </a:solidFill>
          <a:ln w="19050">
            <a:solidFill>
              <a:schemeClr val="lt1"/>
            </a:solidFill>
          </a:ln>
          <a:effectLst/>
        </c:spPr>
      </c:pivotFmt>
      <c:pivotFmt>
        <c:idx val="264"/>
        <c:spPr>
          <a:solidFill>
            <a:schemeClr val="accent4">
              <a:tint val="40000"/>
            </a:schemeClr>
          </a:solidFill>
          <a:ln w="19050">
            <a:solidFill>
              <a:schemeClr val="lt1"/>
            </a:solidFill>
          </a:ln>
          <a:effectLst/>
        </c:spPr>
      </c:pivotFmt>
      <c:pivotFmt>
        <c:idx val="265"/>
        <c:spPr>
          <a:solidFill>
            <a:schemeClr val="accent4">
              <a:tint val="39000"/>
            </a:schemeClr>
          </a:solidFill>
          <a:ln w="19050">
            <a:solidFill>
              <a:schemeClr val="lt1"/>
            </a:solidFill>
          </a:ln>
          <a:effectLst/>
        </c:spPr>
      </c:pivotFmt>
      <c:pivotFmt>
        <c:idx val="266"/>
        <c:spPr>
          <a:solidFill>
            <a:schemeClr val="accent4">
              <a:tint val="38000"/>
            </a:schemeClr>
          </a:solidFill>
          <a:ln w="19050">
            <a:solidFill>
              <a:schemeClr val="lt1"/>
            </a:solidFill>
          </a:ln>
          <a:effectLst/>
        </c:spPr>
      </c:pivotFmt>
      <c:pivotFmt>
        <c:idx val="267"/>
        <c:spPr>
          <a:solidFill>
            <a:schemeClr val="accent4">
              <a:tint val="37000"/>
            </a:schemeClr>
          </a:solidFill>
          <a:ln w="19050">
            <a:solidFill>
              <a:schemeClr val="lt1"/>
            </a:solidFill>
          </a:ln>
          <a:effectLst/>
        </c:spPr>
      </c:pivotFmt>
      <c:pivotFmt>
        <c:idx val="268"/>
        <c:spPr>
          <a:solidFill>
            <a:schemeClr val="accent4">
              <a:tint val="36000"/>
            </a:schemeClr>
          </a:solidFill>
          <a:ln w="19050">
            <a:solidFill>
              <a:schemeClr val="lt1"/>
            </a:solidFill>
          </a:ln>
          <a:effectLst/>
        </c:spPr>
      </c:pivotFmt>
      <c:pivotFmt>
        <c:idx val="269"/>
        <c:spPr>
          <a:solidFill>
            <a:schemeClr val="accent4">
              <a:tint val="35000"/>
            </a:schemeClr>
          </a:solidFill>
          <a:ln w="19050">
            <a:solidFill>
              <a:schemeClr val="lt1"/>
            </a:solidFill>
          </a:ln>
          <a:effectLst/>
        </c:spPr>
      </c:pivotFmt>
      <c:pivotFmt>
        <c:idx val="270"/>
        <c:spPr>
          <a:solidFill>
            <a:schemeClr val="accent4">
              <a:tint val="34000"/>
            </a:schemeClr>
          </a:solidFill>
          <a:ln w="19050">
            <a:solidFill>
              <a:schemeClr val="lt1"/>
            </a:solidFill>
          </a:ln>
          <a:effectLst/>
        </c:spPr>
      </c:pivotFmt>
      <c:pivotFmt>
        <c:idx val="271"/>
        <c:spPr>
          <a:solidFill>
            <a:schemeClr val="accent4">
              <a:tint val="33000"/>
            </a:schemeClr>
          </a:solidFill>
          <a:ln w="19050">
            <a:solidFill>
              <a:schemeClr val="lt1"/>
            </a:solidFill>
          </a:ln>
          <a:effectLst/>
        </c:spPr>
      </c:pivotFmt>
      <c:pivotFmt>
        <c:idx val="272"/>
        <c:spPr>
          <a:solidFill>
            <a:schemeClr val="accent4">
              <a:tint val="32000"/>
            </a:schemeClr>
          </a:solidFill>
          <a:ln w="19050">
            <a:solidFill>
              <a:schemeClr val="lt1"/>
            </a:solidFill>
          </a:ln>
          <a:effectLst/>
        </c:spPr>
      </c:pivotFmt>
      <c:pivotFmt>
        <c:idx val="27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6"/>
        <c:spPr>
          <a:solidFill>
            <a:schemeClr val="accent4">
              <a:shade val="58000"/>
            </a:schemeClr>
          </a:solidFill>
          <a:ln w="19050">
            <a:solidFill>
              <a:schemeClr val="lt1"/>
            </a:solidFill>
          </a:ln>
          <a:effectLst/>
        </c:spPr>
      </c:pivotFmt>
      <c:pivotFmt>
        <c:idx val="277"/>
        <c:spPr>
          <a:solidFill>
            <a:schemeClr val="accent4">
              <a:shade val="86000"/>
            </a:schemeClr>
          </a:solidFill>
          <a:ln w="19050">
            <a:solidFill>
              <a:schemeClr val="lt1"/>
            </a:solidFill>
          </a:ln>
          <a:effectLst/>
        </c:spPr>
      </c:pivotFmt>
      <c:pivotFmt>
        <c:idx val="278"/>
        <c:spPr>
          <a:solidFill>
            <a:schemeClr val="accent4">
              <a:tint val="86000"/>
            </a:schemeClr>
          </a:solidFill>
          <a:ln w="19050">
            <a:solidFill>
              <a:schemeClr val="lt1"/>
            </a:solidFill>
          </a:ln>
          <a:effectLst/>
        </c:spPr>
      </c:pivotFmt>
      <c:pivotFmt>
        <c:idx val="279"/>
        <c:spPr>
          <a:solidFill>
            <a:schemeClr val="accent4">
              <a:tint val="58000"/>
            </a:schemeClr>
          </a:solidFill>
          <a:ln w="19050">
            <a:solidFill>
              <a:schemeClr val="lt1"/>
            </a:solidFill>
          </a:ln>
          <a:effectLst/>
        </c:spPr>
      </c:pivotFmt>
    </c:pivotFmts>
    <c:plotArea>
      <c:layout/>
      <c:pieChart>
        <c:varyColors val="1"/>
        <c:ser>
          <c:idx val="0"/>
          <c:order val="0"/>
          <c:tx>
            <c:strRef>
              <c:f>Charts!$C$134</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FFC9-4B30-8CB2-D7041C55DAC0}"/>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FFC9-4B30-8CB2-D7041C55DAC0}"/>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FFC9-4B30-8CB2-D7041C55DAC0}"/>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FFC9-4B30-8CB2-D7041C55DAC0}"/>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Charts!$B$135:$B$139</c:f>
              <c:strCache>
                <c:ptCount val="4"/>
                <c:pt idx="0">
                  <c:v>East</c:v>
                </c:pt>
                <c:pt idx="1">
                  <c:v>North</c:v>
                </c:pt>
                <c:pt idx="2">
                  <c:v>South</c:v>
                </c:pt>
                <c:pt idx="3">
                  <c:v>West</c:v>
                </c:pt>
              </c:strCache>
            </c:strRef>
          </c:cat>
          <c:val>
            <c:numRef>
              <c:f>Charts!$C$135:$C$139</c:f>
              <c:numCache>
                <c:formatCode>General</c:formatCode>
                <c:ptCount val="4"/>
                <c:pt idx="0">
                  <c:v>152004.8700000002</c:v>
                </c:pt>
                <c:pt idx="1">
                  <c:v>153945.06000000011</c:v>
                </c:pt>
                <c:pt idx="2">
                  <c:v>178994.76000000013</c:v>
                </c:pt>
                <c:pt idx="3">
                  <c:v>126485.69000000002</c:v>
                </c:pt>
              </c:numCache>
            </c:numRef>
          </c:val>
          <c:extLst>
            <c:ext xmlns:c16="http://schemas.microsoft.com/office/drawing/2014/chart" uri="{C3380CC4-5D6E-409C-BE32-E72D297353CC}">
              <c16:uniqueId val="{0000010E-5F84-462B-8D9D-E3530E5A39E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Lec 3 Task.xlsx]Charts!PivotTable11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4">
                    <a:lumMod val="75000"/>
                  </a:schemeClr>
                </a:solidFill>
              </a:rPr>
              <a:t>Monthly Trend of Total Revenue and Total Orders</a:t>
            </a:r>
            <a:endParaRPr lang="en-US">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Sum of Total Revenue </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Charts!$A$4:$A$10</c:f>
              <c:strCache>
                <c:ptCount val="6"/>
                <c:pt idx="0">
                  <c:v>January</c:v>
                </c:pt>
                <c:pt idx="1">
                  <c:v>February</c:v>
                </c:pt>
                <c:pt idx="2">
                  <c:v>March</c:v>
                </c:pt>
                <c:pt idx="3">
                  <c:v>April</c:v>
                </c:pt>
                <c:pt idx="4">
                  <c:v>May</c:v>
                </c:pt>
                <c:pt idx="5">
                  <c:v>June</c:v>
                </c:pt>
              </c:strCache>
            </c:strRef>
          </c:cat>
          <c:val>
            <c:numRef>
              <c:f>Charts!$B$4:$B$10</c:f>
              <c:numCache>
                <c:formatCode>General</c:formatCode>
                <c:ptCount val="6"/>
                <c:pt idx="0">
                  <c:v>99306.659999999989</c:v>
                </c:pt>
                <c:pt idx="1">
                  <c:v>119716.11000000004</c:v>
                </c:pt>
                <c:pt idx="2">
                  <c:v>110296.77000000005</c:v>
                </c:pt>
                <c:pt idx="3">
                  <c:v>97566.91</c:v>
                </c:pt>
                <c:pt idx="4">
                  <c:v>96777.180000000022</c:v>
                </c:pt>
                <c:pt idx="5">
                  <c:v>87766.750000000029</c:v>
                </c:pt>
              </c:numCache>
            </c:numRef>
          </c:val>
          <c:extLst>
            <c:ext xmlns:c16="http://schemas.microsoft.com/office/drawing/2014/chart" uri="{C3380CC4-5D6E-409C-BE32-E72D297353CC}">
              <c16:uniqueId val="{00000001-C1C9-4D09-9B6B-6E9C3DF924C6}"/>
            </c:ext>
          </c:extLst>
        </c:ser>
        <c:ser>
          <c:idx val="1"/>
          <c:order val="1"/>
          <c:tx>
            <c:strRef>
              <c:f>Charts!$C$3</c:f>
              <c:strCache>
                <c:ptCount val="1"/>
                <c:pt idx="0">
                  <c:v>Count of Order ID</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Charts!$A$4:$A$10</c:f>
              <c:strCache>
                <c:ptCount val="6"/>
                <c:pt idx="0">
                  <c:v>January</c:v>
                </c:pt>
                <c:pt idx="1">
                  <c:v>February</c:v>
                </c:pt>
                <c:pt idx="2">
                  <c:v>March</c:v>
                </c:pt>
                <c:pt idx="3">
                  <c:v>April</c:v>
                </c:pt>
                <c:pt idx="4">
                  <c:v>May</c:v>
                </c:pt>
                <c:pt idx="5">
                  <c:v>June</c:v>
                </c:pt>
              </c:strCache>
            </c:strRef>
          </c:cat>
          <c:val>
            <c:numRef>
              <c:f>Charts!$C$4:$C$10</c:f>
              <c:numCache>
                <c:formatCode>General</c:formatCode>
                <c:ptCount val="6"/>
                <c:pt idx="0">
                  <c:v>133</c:v>
                </c:pt>
                <c:pt idx="1">
                  <c:v>155</c:v>
                </c:pt>
                <c:pt idx="2">
                  <c:v>134</c:v>
                </c:pt>
                <c:pt idx="3">
                  <c:v>125</c:v>
                </c:pt>
                <c:pt idx="4">
                  <c:v>123</c:v>
                </c:pt>
                <c:pt idx="5">
                  <c:v>130</c:v>
                </c:pt>
              </c:numCache>
            </c:numRef>
          </c:val>
          <c:extLst>
            <c:ext xmlns:c16="http://schemas.microsoft.com/office/drawing/2014/chart" uri="{C3380CC4-5D6E-409C-BE32-E72D297353CC}">
              <c16:uniqueId val="{00000002-C1C9-4D09-9B6B-6E9C3DF924C6}"/>
            </c:ext>
          </c:extLst>
        </c:ser>
        <c:dLbls>
          <c:showLegendKey val="0"/>
          <c:showVal val="1"/>
          <c:showCatName val="0"/>
          <c:showSerName val="0"/>
          <c:showPercent val="0"/>
          <c:showBubbleSize val="0"/>
        </c:dLbls>
        <c:gapWidth val="219"/>
        <c:overlap val="-27"/>
        <c:axId val="674525535"/>
        <c:axId val="674509311"/>
      </c:barChart>
      <c:catAx>
        <c:axId val="67452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09311"/>
        <c:crosses val="autoZero"/>
        <c:auto val="1"/>
        <c:lblAlgn val="ctr"/>
        <c:lblOffset val="100"/>
        <c:noMultiLvlLbl val="0"/>
      </c:catAx>
      <c:valAx>
        <c:axId val="674509311"/>
        <c:scaling>
          <c:orientation val="minMax"/>
        </c:scaling>
        <c:delete val="1"/>
        <c:axPos val="l"/>
        <c:numFmt formatCode="General" sourceLinked="1"/>
        <c:majorTickMark val="out"/>
        <c:minorTickMark val="none"/>
        <c:tickLblPos val="nextTo"/>
        <c:crossAx val="67452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Lec 3 Task.xlsx]Charts!PivotTable15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4">
                    <a:lumMod val="75000"/>
                  </a:schemeClr>
                </a:solidFill>
                <a:effectLst/>
              </a:rPr>
              <a:t>Top 5 Salesmen</a:t>
            </a:r>
            <a:endParaRPr lang="en-US" b="0">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Charts!$C$80</c:f>
              <c:strCache>
                <c:ptCount val="1"/>
                <c:pt idx="0">
                  <c:v>Total</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1-87CA-46EE-AD7C-079FD698999A}"/>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2-340A-470E-84FE-944F2B3DC6F6}"/>
              </c:ext>
            </c:extLst>
          </c:dPt>
          <c:dLbls>
            <c:dLbl>
              <c:idx val="2"/>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0A-470E-84FE-944F2B3DC6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Charts!$B$81:$B$86</c:f>
              <c:strCache>
                <c:ptCount val="5"/>
                <c:pt idx="0">
                  <c:v>Youssef Zayed</c:v>
                </c:pt>
                <c:pt idx="1">
                  <c:v>Arwa Mahmoud</c:v>
                </c:pt>
                <c:pt idx="2">
                  <c:v>Sara Amr</c:v>
                </c:pt>
                <c:pt idx="3">
                  <c:v>Ahmed Ali</c:v>
                </c:pt>
                <c:pt idx="4">
                  <c:v>Omar Hassan</c:v>
                </c:pt>
              </c:strCache>
            </c:strRef>
          </c:cat>
          <c:val>
            <c:numRef>
              <c:f>Charts!$C$81:$C$86</c:f>
              <c:numCache>
                <c:formatCode>General</c:formatCode>
                <c:ptCount val="5"/>
                <c:pt idx="0">
                  <c:v>126146.13000000005</c:v>
                </c:pt>
                <c:pt idx="1">
                  <c:v>124386.09000000007</c:v>
                </c:pt>
                <c:pt idx="2">
                  <c:v>123816.27</c:v>
                </c:pt>
                <c:pt idx="3">
                  <c:v>122696.23000000004</c:v>
                </c:pt>
                <c:pt idx="4">
                  <c:v>114385.66000000008</c:v>
                </c:pt>
              </c:numCache>
            </c:numRef>
          </c:val>
          <c:extLst>
            <c:ext xmlns:c16="http://schemas.microsoft.com/office/drawing/2014/chart" uri="{C3380CC4-5D6E-409C-BE32-E72D297353CC}">
              <c16:uniqueId val="{00000002-87CA-46EE-AD7C-079FD698999A}"/>
            </c:ext>
          </c:extLst>
        </c:ser>
        <c:dLbls>
          <c:dLblPos val="outEnd"/>
          <c:showLegendKey val="0"/>
          <c:showVal val="1"/>
          <c:showCatName val="0"/>
          <c:showSerName val="0"/>
          <c:showPercent val="0"/>
          <c:showBubbleSize val="0"/>
        </c:dLbls>
        <c:gapWidth val="182"/>
        <c:axId val="574857583"/>
        <c:axId val="574851759"/>
      </c:barChart>
      <c:catAx>
        <c:axId val="5748575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851759"/>
        <c:crosses val="autoZero"/>
        <c:auto val="1"/>
        <c:lblAlgn val="ctr"/>
        <c:lblOffset val="100"/>
        <c:noMultiLvlLbl val="0"/>
      </c:catAx>
      <c:valAx>
        <c:axId val="574851759"/>
        <c:scaling>
          <c:orientation val="minMax"/>
        </c:scaling>
        <c:delete val="1"/>
        <c:axPos val="b"/>
        <c:numFmt formatCode="General" sourceLinked="1"/>
        <c:majorTickMark val="out"/>
        <c:minorTickMark val="none"/>
        <c:tickLblPos val="nextTo"/>
        <c:crossAx val="57485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Lec 3 Task.xlsx]Charts!PivotTable13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accent4">
                    <a:lumMod val="75000"/>
                  </a:schemeClr>
                </a:solidFill>
              </a:rPr>
              <a:t>Highest 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Charts!$C$31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Charts!$B$32:$B$35</c:f>
              <c:strCache>
                <c:ptCount val="3"/>
                <c:pt idx="0">
                  <c:v>Electronics</c:v>
                </c:pt>
                <c:pt idx="1">
                  <c:v>Accessories</c:v>
                </c:pt>
                <c:pt idx="2">
                  <c:v>Furniture</c:v>
                </c:pt>
              </c:strCache>
            </c:strRef>
          </c:cat>
          <c:val>
            <c:numRef>
              <c:f>Charts!$C$32:$C$35</c:f>
              <c:numCache>
                <c:formatCode>General</c:formatCode>
                <c:ptCount val="3"/>
                <c:pt idx="0">
                  <c:v>455642.67999999929</c:v>
                </c:pt>
                <c:pt idx="1">
                  <c:v>93540.190000000104</c:v>
                </c:pt>
                <c:pt idx="2">
                  <c:v>62247.510000000009</c:v>
                </c:pt>
              </c:numCache>
            </c:numRef>
          </c:val>
          <c:extLst>
            <c:ext xmlns:c16="http://schemas.microsoft.com/office/drawing/2014/chart" uri="{C3380CC4-5D6E-409C-BE32-E72D297353CC}">
              <c16:uniqueId val="{00000001-93DB-4B56-B154-428638621E4A}"/>
            </c:ext>
          </c:extLst>
        </c:ser>
        <c:dLbls>
          <c:dLblPos val="outEnd"/>
          <c:showLegendKey val="0"/>
          <c:showVal val="1"/>
          <c:showCatName val="0"/>
          <c:showSerName val="0"/>
          <c:showPercent val="0"/>
          <c:showBubbleSize val="0"/>
        </c:dLbls>
        <c:gapWidth val="219"/>
        <c:overlap val="-27"/>
        <c:axId val="574853423"/>
        <c:axId val="574858415"/>
      </c:barChart>
      <c:catAx>
        <c:axId val="574853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858415"/>
        <c:crosses val="autoZero"/>
        <c:auto val="1"/>
        <c:lblAlgn val="ctr"/>
        <c:lblOffset val="100"/>
        <c:noMultiLvlLbl val="0"/>
      </c:catAx>
      <c:valAx>
        <c:axId val="574858415"/>
        <c:scaling>
          <c:orientation val="minMax"/>
        </c:scaling>
        <c:delete val="1"/>
        <c:axPos val="l"/>
        <c:numFmt formatCode="General" sourceLinked="1"/>
        <c:majorTickMark val="none"/>
        <c:minorTickMark val="none"/>
        <c:tickLblPos val="nextTo"/>
        <c:crossAx val="57485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Lec 3 Task.xlsx]Charts!PivotTable16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4">
                    <a:lumMod val="75000"/>
                  </a:schemeClr>
                </a:solidFill>
              </a:rPr>
              <a:t>Sales Regions Revenue Distribution</a:t>
            </a:r>
            <a:endParaRPr lang="en-US">
              <a:solidFill>
                <a:schemeClr val="accent4">
                  <a:lumMod val="75000"/>
                </a:schemeClr>
              </a:solidFill>
            </a:endParaRPr>
          </a:p>
        </c:rich>
      </c:tx>
      <c:layout>
        <c:manualLayout>
          <c:xMode val="edge"/>
          <c:yMode val="edge"/>
          <c:x val="0.22451875640852023"/>
          <c:y val="7.0460704607046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hade val="86000"/>
            </a:schemeClr>
          </a:solidFill>
          <a:ln w="19050">
            <a:solidFill>
              <a:schemeClr val="lt1"/>
            </a:solidFill>
          </a:ln>
          <a:effectLst/>
        </c:spPr>
        <c:dLbl>
          <c:idx val="0"/>
          <c:layout>
            <c:manualLayout>
              <c:x val="5.6756860871842958E-2"/>
              <c:y val="-4.812940348023229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hade val="86000"/>
            </a:schemeClr>
          </a:solidFill>
          <a:ln w="19050">
            <a:solidFill>
              <a:schemeClr val="lt1"/>
            </a:solidFill>
          </a:ln>
          <a:effectLst/>
        </c:spPr>
        <c:dLbl>
          <c:idx val="0"/>
          <c:layout>
            <c:manualLayout>
              <c:x val="5.6756860871842958E-2"/>
              <c:y val="-4.812940348023229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4">
              <a:shade val="86000"/>
            </a:schemeClr>
          </a:solidFill>
          <a:ln w="19050">
            <a:solidFill>
              <a:schemeClr val="lt1"/>
            </a:solidFill>
          </a:ln>
          <a:effectLst/>
        </c:spPr>
        <c:dLbl>
          <c:idx val="0"/>
          <c:layout>
            <c:manualLayout>
              <c:x val="5.6756860871842958E-2"/>
              <c:y val="-4.812940348023229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4">
              <a:shade val="86000"/>
            </a:schemeClr>
          </a:solidFill>
          <a:ln w="19050">
            <a:solidFill>
              <a:schemeClr val="lt1"/>
            </a:solidFill>
          </a:ln>
          <a:effectLst/>
        </c:spPr>
        <c:dLbl>
          <c:idx val="0"/>
          <c:layout>
            <c:manualLayout>
              <c:x val="5.6756860871842958E-2"/>
              <c:y val="-4.812940348023229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4">
              <a:shade val="86000"/>
            </a:schemeClr>
          </a:solidFill>
          <a:ln w="19050">
            <a:solidFill>
              <a:schemeClr val="lt1"/>
            </a:solidFill>
          </a:ln>
          <a:effectLst/>
        </c:spPr>
        <c:dLbl>
          <c:idx val="0"/>
          <c:layout>
            <c:manualLayout>
              <c:x val="5.6756860871842958E-2"/>
              <c:y val="-4.812940348023229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4">
              <a:shade val="86000"/>
            </a:schemeClr>
          </a:solidFill>
          <a:ln w="19050">
            <a:solidFill>
              <a:schemeClr val="lt1"/>
            </a:solidFill>
          </a:ln>
          <a:effectLst/>
        </c:spPr>
        <c:dLbl>
          <c:idx val="0"/>
          <c:layout>
            <c:manualLayout>
              <c:x val="5.6756860871842958E-2"/>
              <c:y val="-4.812940348023229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4">
              <a:shade val="86000"/>
            </a:schemeClr>
          </a:solidFill>
          <a:ln w="19050">
            <a:solidFill>
              <a:schemeClr val="lt1"/>
            </a:solidFill>
          </a:ln>
          <a:effectLst/>
        </c:spPr>
        <c:dLbl>
          <c:idx val="0"/>
          <c:layout>
            <c:manualLayout>
              <c:x val="5.6756860871842958E-2"/>
              <c:y val="-4.812940348023229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4">
              <a:shade val="86000"/>
            </a:schemeClr>
          </a:solidFill>
          <a:ln w="19050">
            <a:solidFill>
              <a:schemeClr val="lt1"/>
            </a:solidFill>
          </a:ln>
          <a:effectLst/>
        </c:spPr>
        <c:dLbl>
          <c:idx val="0"/>
          <c:layout>
            <c:manualLayout>
              <c:x val="5.6756860871842958E-2"/>
              <c:y val="-4.812940348023229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4">
              <a:shade val="86000"/>
            </a:schemeClr>
          </a:solidFill>
          <a:ln w="19050">
            <a:solidFill>
              <a:schemeClr val="lt1"/>
            </a:solidFill>
          </a:ln>
          <a:effectLst/>
        </c:spPr>
        <c:dLbl>
          <c:idx val="0"/>
          <c:layout>
            <c:manualLayout>
              <c:x val="5.6756756756756684E-2"/>
              <c:y val="-8.064955295222243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4">
              <a:shade val="86000"/>
            </a:schemeClr>
          </a:solidFill>
          <a:ln w="19050">
            <a:solidFill>
              <a:schemeClr val="lt1"/>
            </a:solidFill>
          </a:ln>
          <a:effectLst/>
        </c:spPr>
        <c:dLbl>
          <c:idx val="0"/>
          <c:layout>
            <c:manualLayout>
              <c:x val="5.6756756756756684E-2"/>
              <c:y val="-8.064955295222243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solidFill>
            <a:schemeClr val="accent4">
              <a:shade val="86000"/>
            </a:schemeClr>
          </a:solidFill>
          <a:ln w="19050">
            <a:solidFill>
              <a:schemeClr val="lt1"/>
            </a:solidFill>
          </a:ln>
          <a:effectLst/>
        </c:spPr>
        <c:dLbl>
          <c:idx val="0"/>
          <c:layout>
            <c:manualLayout>
              <c:x val="5.6756756756756684E-2"/>
              <c:y val="-8.064955295222243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spPr>
          <a:solidFill>
            <a:schemeClr val="accent4">
              <a:shade val="86000"/>
            </a:schemeClr>
          </a:solidFill>
          <a:ln w="19050">
            <a:solidFill>
              <a:schemeClr val="lt1"/>
            </a:solidFill>
          </a:ln>
          <a:effectLst/>
        </c:spPr>
        <c:dLbl>
          <c:idx val="0"/>
          <c:layout>
            <c:manualLayout>
              <c:x val="5.6756756756756684E-2"/>
              <c:y val="-8.064955295222243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solidFill>
            <a:schemeClr val="accent4">
              <a:shade val="86000"/>
            </a:schemeClr>
          </a:solidFill>
          <a:ln w="19050">
            <a:solidFill>
              <a:schemeClr val="lt1"/>
            </a:solidFill>
          </a:ln>
          <a:effectLst/>
        </c:spPr>
        <c:dLbl>
          <c:idx val="0"/>
          <c:layout>
            <c:manualLayout>
              <c:x val="5.6756756756756684E-2"/>
              <c:y val="-8.064955295222243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chemeClr val="accent4">
              <a:shade val="86000"/>
            </a:schemeClr>
          </a:solidFill>
          <a:ln w="19050">
            <a:solidFill>
              <a:schemeClr val="lt1"/>
            </a:solidFill>
          </a:ln>
          <a:effectLst/>
        </c:spPr>
        <c:dLbl>
          <c:idx val="0"/>
          <c:layout>
            <c:manualLayout>
              <c:x val="5.6756756756756684E-2"/>
              <c:y val="-8.064955295222243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8"/>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1"/>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chemeClr val="accent4">
              <a:shade val="86000"/>
            </a:schemeClr>
          </a:solidFill>
          <a:ln w="19050">
            <a:solidFill>
              <a:schemeClr val="lt1"/>
            </a:solidFill>
          </a:ln>
          <a:effectLst/>
        </c:spPr>
        <c:dLbl>
          <c:idx val="0"/>
          <c:layout>
            <c:manualLayout>
              <c:x val="5.6756756756756684E-2"/>
              <c:y val="-8.064955295222243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7"/>
        <c:spPr>
          <a:solidFill>
            <a:schemeClr val="accent4">
              <a:shade val="86000"/>
            </a:schemeClr>
          </a:solidFill>
          <a:ln w="19050">
            <a:solidFill>
              <a:schemeClr val="lt1"/>
            </a:solidFill>
          </a:ln>
          <a:effectLst/>
        </c:spPr>
        <c:dLbl>
          <c:idx val="0"/>
          <c:layout>
            <c:manualLayout>
              <c:x val="5.6756756756756684E-2"/>
              <c:y val="-8.064955295222243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9"/>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0"/>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4">
              <a:shade val="58000"/>
            </a:schemeClr>
          </a:solidFill>
          <a:ln w="19050">
            <a:solidFill>
              <a:schemeClr val="lt1"/>
            </a:solidFill>
          </a:ln>
          <a:effectLst/>
        </c:spPr>
        <c:dLbl>
          <c:idx val="0"/>
          <c:layout>
            <c:manualLayout>
              <c:x val="4.9391086388174084E-2"/>
              <c:y val="-4.09027063869527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2"/>
        <c:spPr>
          <a:solidFill>
            <a:schemeClr val="accent4">
              <a:shade val="86000"/>
            </a:schemeClr>
          </a:solidFill>
          <a:ln w="19050">
            <a:solidFill>
              <a:schemeClr val="lt1"/>
            </a:solidFill>
          </a:ln>
          <a:effectLst/>
        </c:spPr>
        <c:dLbl>
          <c:idx val="0"/>
          <c:layout>
            <c:manualLayout>
              <c:x val="5.6756756756756684E-2"/>
              <c:y val="-8.064955295222243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3"/>
        <c:spPr>
          <a:solidFill>
            <a:schemeClr val="accent4">
              <a:tint val="86000"/>
            </a:schemeClr>
          </a:solidFill>
          <a:ln w="19050">
            <a:solidFill>
              <a:schemeClr val="lt1"/>
            </a:solidFill>
          </a:ln>
          <a:effectLst/>
        </c:spPr>
        <c:dLbl>
          <c:idx val="0"/>
          <c:layout>
            <c:manualLayout>
              <c:x val="-4.7455968688845399E-2"/>
              <c:y val="8.3424650828258212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4"/>
        <c:spPr>
          <a:solidFill>
            <a:schemeClr val="accent4">
              <a:tint val="58000"/>
            </a:schemeClr>
          </a:solidFill>
          <a:ln w="19050">
            <a:solidFill>
              <a:schemeClr val="lt1"/>
            </a:solidFill>
          </a:ln>
          <a:effectLst/>
        </c:spPr>
        <c:dLbl>
          <c:idx val="0"/>
          <c:layout>
            <c:manualLayout>
              <c:x val="-7.1004566210045666E-2"/>
              <c:y val="1.511088015002428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solidFill>
            <a:schemeClr val="accent4">
              <a:shade val="31000"/>
            </a:schemeClr>
          </a:solidFill>
          <a:ln w="19050">
            <a:solidFill>
              <a:schemeClr val="lt1"/>
            </a:solidFill>
          </a:ln>
          <a:effectLst/>
        </c:spPr>
      </c:pivotFmt>
      <c:pivotFmt>
        <c:idx val="86"/>
        <c:spPr>
          <a:solidFill>
            <a:schemeClr val="accent4">
              <a:shade val="32000"/>
            </a:schemeClr>
          </a:solidFill>
          <a:ln w="19050">
            <a:solidFill>
              <a:schemeClr val="lt1"/>
            </a:solidFill>
          </a:ln>
          <a:effectLst/>
        </c:spPr>
      </c:pivotFmt>
      <c:pivotFmt>
        <c:idx val="87"/>
        <c:spPr>
          <a:solidFill>
            <a:schemeClr val="accent4">
              <a:shade val="33000"/>
            </a:schemeClr>
          </a:solidFill>
          <a:ln w="19050">
            <a:solidFill>
              <a:schemeClr val="lt1"/>
            </a:solidFill>
          </a:ln>
          <a:effectLst/>
        </c:spPr>
      </c:pivotFmt>
      <c:pivotFmt>
        <c:idx val="88"/>
        <c:spPr>
          <a:solidFill>
            <a:schemeClr val="accent4">
              <a:shade val="34000"/>
            </a:schemeClr>
          </a:solidFill>
          <a:ln w="19050">
            <a:solidFill>
              <a:schemeClr val="lt1"/>
            </a:solidFill>
          </a:ln>
          <a:effectLst/>
        </c:spPr>
      </c:pivotFmt>
      <c:pivotFmt>
        <c:idx val="89"/>
        <c:spPr>
          <a:solidFill>
            <a:schemeClr val="accent4">
              <a:shade val="35000"/>
            </a:schemeClr>
          </a:solidFill>
          <a:ln w="19050">
            <a:solidFill>
              <a:schemeClr val="lt1"/>
            </a:solidFill>
          </a:ln>
          <a:effectLst/>
        </c:spPr>
      </c:pivotFmt>
      <c:pivotFmt>
        <c:idx val="90"/>
        <c:spPr>
          <a:solidFill>
            <a:schemeClr val="accent4">
              <a:shade val="36000"/>
            </a:schemeClr>
          </a:solidFill>
          <a:ln w="19050">
            <a:solidFill>
              <a:schemeClr val="lt1"/>
            </a:solidFill>
          </a:ln>
          <a:effectLst/>
        </c:spPr>
      </c:pivotFmt>
      <c:pivotFmt>
        <c:idx val="91"/>
        <c:spPr>
          <a:solidFill>
            <a:schemeClr val="accent4">
              <a:shade val="37000"/>
            </a:schemeClr>
          </a:solidFill>
          <a:ln w="19050">
            <a:solidFill>
              <a:schemeClr val="lt1"/>
            </a:solidFill>
          </a:ln>
          <a:effectLst/>
        </c:spPr>
      </c:pivotFmt>
      <c:pivotFmt>
        <c:idx val="92"/>
        <c:spPr>
          <a:solidFill>
            <a:schemeClr val="accent4">
              <a:shade val="38000"/>
            </a:schemeClr>
          </a:solidFill>
          <a:ln w="19050">
            <a:solidFill>
              <a:schemeClr val="lt1"/>
            </a:solidFill>
          </a:ln>
          <a:effectLst/>
        </c:spPr>
      </c:pivotFmt>
      <c:pivotFmt>
        <c:idx val="93"/>
        <c:spPr>
          <a:solidFill>
            <a:schemeClr val="accent4">
              <a:shade val="39000"/>
            </a:schemeClr>
          </a:solidFill>
          <a:ln w="19050">
            <a:solidFill>
              <a:schemeClr val="lt1"/>
            </a:solidFill>
          </a:ln>
          <a:effectLst/>
        </c:spPr>
      </c:pivotFmt>
      <c:pivotFmt>
        <c:idx val="94"/>
        <c:spPr>
          <a:solidFill>
            <a:schemeClr val="accent4">
              <a:shade val="40000"/>
            </a:schemeClr>
          </a:solidFill>
          <a:ln w="19050">
            <a:solidFill>
              <a:schemeClr val="lt1"/>
            </a:solidFill>
          </a:ln>
          <a:effectLst/>
        </c:spPr>
      </c:pivotFmt>
      <c:pivotFmt>
        <c:idx val="95"/>
        <c:spPr>
          <a:solidFill>
            <a:schemeClr val="accent4">
              <a:shade val="41000"/>
            </a:schemeClr>
          </a:solidFill>
          <a:ln w="19050">
            <a:solidFill>
              <a:schemeClr val="lt1"/>
            </a:solidFill>
          </a:ln>
          <a:effectLst/>
        </c:spPr>
      </c:pivotFmt>
      <c:pivotFmt>
        <c:idx val="96"/>
        <c:spPr>
          <a:solidFill>
            <a:schemeClr val="accent4">
              <a:shade val="42000"/>
            </a:schemeClr>
          </a:solidFill>
          <a:ln w="19050">
            <a:solidFill>
              <a:schemeClr val="lt1"/>
            </a:solidFill>
          </a:ln>
          <a:effectLst/>
        </c:spPr>
      </c:pivotFmt>
      <c:pivotFmt>
        <c:idx val="97"/>
        <c:spPr>
          <a:solidFill>
            <a:schemeClr val="accent4">
              <a:shade val="43000"/>
            </a:schemeClr>
          </a:solidFill>
          <a:ln w="19050">
            <a:solidFill>
              <a:schemeClr val="lt1"/>
            </a:solidFill>
          </a:ln>
          <a:effectLst/>
        </c:spPr>
      </c:pivotFmt>
      <c:pivotFmt>
        <c:idx val="98"/>
        <c:spPr>
          <a:solidFill>
            <a:schemeClr val="accent4">
              <a:shade val="44000"/>
            </a:schemeClr>
          </a:solidFill>
          <a:ln w="19050">
            <a:solidFill>
              <a:schemeClr val="lt1"/>
            </a:solidFill>
          </a:ln>
          <a:effectLst/>
        </c:spPr>
      </c:pivotFmt>
      <c:pivotFmt>
        <c:idx val="99"/>
        <c:spPr>
          <a:solidFill>
            <a:schemeClr val="accent4">
              <a:shade val="45000"/>
            </a:schemeClr>
          </a:solidFill>
          <a:ln w="19050">
            <a:solidFill>
              <a:schemeClr val="lt1"/>
            </a:solidFill>
          </a:ln>
          <a:effectLst/>
        </c:spPr>
      </c:pivotFmt>
      <c:pivotFmt>
        <c:idx val="100"/>
        <c:spPr>
          <a:solidFill>
            <a:schemeClr val="accent4">
              <a:shade val="46000"/>
            </a:schemeClr>
          </a:solidFill>
          <a:ln w="19050">
            <a:solidFill>
              <a:schemeClr val="lt1"/>
            </a:solidFill>
          </a:ln>
          <a:effectLst/>
        </c:spPr>
      </c:pivotFmt>
      <c:pivotFmt>
        <c:idx val="101"/>
        <c:spPr>
          <a:solidFill>
            <a:schemeClr val="accent4">
              <a:shade val="47000"/>
            </a:schemeClr>
          </a:solidFill>
          <a:ln w="19050">
            <a:solidFill>
              <a:schemeClr val="lt1"/>
            </a:solidFill>
          </a:ln>
          <a:effectLst/>
        </c:spPr>
      </c:pivotFmt>
      <c:pivotFmt>
        <c:idx val="102"/>
        <c:spPr>
          <a:solidFill>
            <a:schemeClr val="accent4">
              <a:shade val="48000"/>
            </a:schemeClr>
          </a:solidFill>
          <a:ln w="19050">
            <a:solidFill>
              <a:schemeClr val="lt1"/>
            </a:solidFill>
          </a:ln>
          <a:effectLst/>
        </c:spPr>
      </c:pivotFmt>
      <c:pivotFmt>
        <c:idx val="103"/>
        <c:spPr>
          <a:solidFill>
            <a:schemeClr val="accent4">
              <a:shade val="49000"/>
            </a:schemeClr>
          </a:solidFill>
          <a:ln w="19050">
            <a:solidFill>
              <a:schemeClr val="lt1"/>
            </a:solidFill>
          </a:ln>
          <a:effectLst/>
        </c:spPr>
      </c:pivotFmt>
      <c:pivotFmt>
        <c:idx val="104"/>
        <c:spPr>
          <a:solidFill>
            <a:schemeClr val="accent4">
              <a:shade val="50000"/>
            </a:schemeClr>
          </a:solidFill>
          <a:ln w="19050">
            <a:solidFill>
              <a:schemeClr val="lt1"/>
            </a:solidFill>
          </a:ln>
          <a:effectLst/>
        </c:spPr>
      </c:pivotFmt>
      <c:pivotFmt>
        <c:idx val="105"/>
        <c:spPr>
          <a:solidFill>
            <a:schemeClr val="accent4">
              <a:shade val="51000"/>
            </a:schemeClr>
          </a:solidFill>
          <a:ln w="19050">
            <a:solidFill>
              <a:schemeClr val="lt1"/>
            </a:solidFill>
          </a:ln>
          <a:effectLst/>
        </c:spPr>
      </c:pivotFmt>
      <c:pivotFmt>
        <c:idx val="106"/>
        <c:spPr>
          <a:solidFill>
            <a:schemeClr val="accent4">
              <a:shade val="52000"/>
            </a:schemeClr>
          </a:solidFill>
          <a:ln w="19050">
            <a:solidFill>
              <a:schemeClr val="lt1"/>
            </a:solidFill>
          </a:ln>
          <a:effectLst/>
        </c:spPr>
      </c:pivotFmt>
      <c:pivotFmt>
        <c:idx val="107"/>
        <c:spPr>
          <a:solidFill>
            <a:schemeClr val="accent4">
              <a:shade val="53000"/>
            </a:schemeClr>
          </a:solidFill>
          <a:ln w="19050">
            <a:solidFill>
              <a:schemeClr val="lt1"/>
            </a:solidFill>
          </a:ln>
          <a:effectLst/>
        </c:spPr>
      </c:pivotFmt>
      <c:pivotFmt>
        <c:idx val="108"/>
        <c:spPr>
          <a:solidFill>
            <a:schemeClr val="accent4">
              <a:shade val="54000"/>
            </a:schemeClr>
          </a:solidFill>
          <a:ln w="19050">
            <a:solidFill>
              <a:schemeClr val="lt1"/>
            </a:solidFill>
          </a:ln>
          <a:effectLst/>
        </c:spPr>
      </c:pivotFmt>
      <c:pivotFmt>
        <c:idx val="109"/>
        <c:spPr>
          <a:solidFill>
            <a:schemeClr val="accent4">
              <a:shade val="55000"/>
            </a:schemeClr>
          </a:solidFill>
          <a:ln w="19050">
            <a:solidFill>
              <a:schemeClr val="lt1"/>
            </a:solidFill>
          </a:ln>
          <a:effectLst/>
        </c:spPr>
      </c:pivotFmt>
      <c:pivotFmt>
        <c:idx val="110"/>
        <c:spPr>
          <a:solidFill>
            <a:schemeClr val="accent4">
              <a:shade val="56000"/>
            </a:schemeClr>
          </a:solidFill>
          <a:ln w="19050">
            <a:solidFill>
              <a:schemeClr val="lt1"/>
            </a:solidFill>
          </a:ln>
          <a:effectLst/>
        </c:spPr>
      </c:pivotFmt>
      <c:pivotFmt>
        <c:idx val="111"/>
        <c:spPr>
          <a:solidFill>
            <a:schemeClr val="accent4">
              <a:shade val="58000"/>
            </a:schemeClr>
          </a:solidFill>
          <a:ln w="19050">
            <a:solidFill>
              <a:schemeClr val="lt1"/>
            </a:solidFill>
          </a:ln>
          <a:effectLst/>
        </c:spPr>
      </c:pivotFmt>
      <c:pivotFmt>
        <c:idx val="112"/>
        <c:spPr>
          <a:solidFill>
            <a:schemeClr val="accent4">
              <a:shade val="59000"/>
            </a:schemeClr>
          </a:solidFill>
          <a:ln w="19050">
            <a:solidFill>
              <a:schemeClr val="lt1"/>
            </a:solidFill>
          </a:ln>
          <a:effectLst/>
        </c:spPr>
      </c:pivotFmt>
      <c:pivotFmt>
        <c:idx val="113"/>
        <c:spPr>
          <a:solidFill>
            <a:schemeClr val="accent4">
              <a:shade val="60000"/>
            </a:schemeClr>
          </a:solidFill>
          <a:ln w="19050">
            <a:solidFill>
              <a:schemeClr val="lt1"/>
            </a:solidFill>
          </a:ln>
          <a:effectLst/>
        </c:spPr>
      </c:pivotFmt>
      <c:pivotFmt>
        <c:idx val="114"/>
        <c:spPr>
          <a:solidFill>
            <a:schemeClr val="accent4">
              <a:shade val="61000"/>
            </a:schemeClr>
          </a:solidFill>
          <a:ln w="19050">
            <a:solidFill>
              <a:schemeClr val="lt1"/>
            </a:solidFill>
          </a:ln>
          <a:effectLst/>
        </c:spPr>
      </c:pivotFmt>
      <c:pivotFmt>
        <c:idx val="115"/>
        <c:spPr>
          <a:solidFill>
            <a:schemeClr val="accent4">
              <a:shade val="62000"/>
            </a:schemeClr>
          </a:solidFill>
          <a:ln w="19050">
            <a:solidFill>
              <a:schemeClr val="lt1"/>
            </a:solidFill>
          </a:ln>
          <a:effectLst/>
        </c:spPr>
      </c:pivotFmt>
      <c:pivotFmt>
        <c:idx val="116"/>
        <c:spPr>
          <a:solidFill>
            <a:schemeClr val="accent4">
              <a:shade val="63000"/>
            </a:schemeClr>
          </a:solidFill>
          <a:ln w="19050">
            <a:solidFill>
              <a:schemeClr val="lt1"/>
            </a:solidFill>
          </a:ln>
          <a:effectLst/>
        </c:spPr>
      </c:pivotFmt>
      <c:pivotFmt>
        <c:idx val="117"/>
        <c:spPr>
          <a:solidFill>
            <a:schemeClr val="accent4">
              <a:shade val="64000"/>
            </a:schemeClr>
          </a:solidFill>
          <a:ln w="19050">
            <a:solidFill>
              <a:schemeClr val="lt1"/>
            </a:solidFill>
          </a:ln>
          <a:effectLst/>
        </c:spPr>
      </c:pivotFmt>
      <c:pivotFmt>
        <c:idx val="118"/>
        <c:spPr>
          <a:solidFill>
            <a:schemeClr val="accent4">
              <a:shade val="65000"/>
            </a:schemeClr>
          </a:solidFill>
          <a:ln w="19050">
            <a:solidFill>
              <a:schemeClr val="lt1"/>
            </a:solidFill>
          </a:ln>
          <a:effectLst/>
        </c:spPr>
      </c:pivotFmt>
      <c:pivotFmt>
        <c:idx val="119"/>
        <c:spPr>
          <a:solidFill>
            <a:schemeClr val="accent4">
              <a:shade val="66000"/>
            </a:schemeClr>
          </a:solidFill>
          <a:ln w="19050">
            <a:solidFill>
              <a:schemeClr val="lt1"/>
            </a:solidFill>
          </a:ln>
          <a:effectLst/>
        </c:spPr>
      </c:pivotFmt>
      <c:pivotFmt>
        <c:idx val="120"/>
        <c:spPr>
          <a:solidFill>
            <a:schemeClr val="accent4">
              <a:shade val="67000"/>
            </a:schemeClr>
          </a:solidFill>
          <a:ln w="19050">
            <a:solidFill>
              <a:schemeClr val="lt1"/>
            </a:solidFill>
          </a:ln>
          <a:effectLst/>
        </c:spPr>
      </c:pivotFmt>
      <c:pivotFmt>
        <c:idx val="121"/>
        <c:spPr>
          <a:solidFill>
            <a:schemeClr val="accent4">
              <a:shade val="68000"/>
            </a:schemeClr>
          </a:solidFill>
          <a:ln w="19050">
            <a:solidFill>
              <a:schemeClr val="lt1"/>
            </a:solidFill>
          </a:ln>
          <a:effectLst/>
        </c:spPr>
      </c:pivotFmt>
      <c:pivotFmt>
        <c:idx val="122"/>
        <c:spPr>
          <a:solidFill>
            <a:schemeClr val="accent4">
              <a:shade val="69000"/>
            </a:schemeClr>
          </a:solidFill>
          <a:ln w="19050">
            <a:solidFill>
              <a:schemeClr val="lt1"/>
            </a:solidFill>
          </a:ln>
          <a:effectLst/>
        </c:spPr>
      </c:pivotFmt>
      <c:pivotFmt>
        <c:idx val="123"/>
        <c:spPr>
          <a:solidFill>
            <a:schemeClr val="accent4">
              <a:shade val="70000"/>
            </a:schemeClr>
          </a:solidFill>
          <a:ln w="19050">
            <a:solidFill>
              <a:schemeClr val="lt1"/>
            </a:solidFill>
          </a:ln>
          <a:effectLst/>
        </c:spPr>
      </c:pivotFmt>
      <c:pivotFmt>
        <c:idx val="124"/>
        <c:spPr>
          <a:solidFill>
            <a:schemeClr val="accent4">
              <a:shade val="71000"/>
            </a:schemeClr>
          </a:solidFill>
          <a:ln w="19050">
            <a:solidFill>
              <a:schemeClr val="lt1"/>
            </a:solidFill>
          </a:ln>
          <a:effectLst/>
        </c:spPr>
      </c:pivotFmt>
      <c:pivotFmt>
        <c:idx val="125"/>
        <c:spPr>
          <a:solidFill>
            <a:schemeClr val="accent4">
              <a:shade val="72000"/>
            </a:schemeClr>
          </a:solidFill>
          <a:ln w="19050">
            <a:solidFill>
              <a:schemeClr val="lt1"/>
            </a:solidFill>
          </a:ln>
          <a:effectLst/>
        </c:spPr>
      </c:pivotFmt>
      <c:pivotFmt>
        <c:idx val="126"/>
        <c:spPr>
          <a:solidFill>
            <a:schemeClr val="accent4">
              <a:shade val="73000"/>
            </a:schemeClr>
          </a:solidFill>
          <a:ln w="19050">
            <a:solidFill>
              <a:schemeClr val="lt1"/>
            </a:solidFill>
          </a:ln>
          <a:effectLst/>
        </c:spPr>
      </c:pivotFmt>
      <c:pivotFmt>
        <c:idx val="127"/>
        <c:spPr>
          <a:solidFill>
            <a:schemeClr val="accent4">
              <a:shade val="74000"/>
            </a:schemeClr>
          </a:solidFill>
          <a:ln w="19050">
            <a:solidFill>
              <a:schemeClr val="lt1"/>
            </a:solidFill>
          </a:ln>
          <a:effectLst/>
        </c:spPr>
      </c:pivotFmt>
      <c:pivotFmt>
        <c:idx val="128"/>
        <c:spPr>
          <a:solidFill>
            <a:schemeClr val="accent4">
              <a:shade val="75000"/>
            </a:schemeClr>
          </a:solidFill>
          <a:ln w="19050">
            <a:solidFill>
              <a:schemeClr val="lt1"/>
            </a:solidFill>
          </a:ln>
          <a:effectLst/>
        </c:spPr>
      </c:pivotFmt>
      <c:pivotFmt>
        <c:idx val="129"/>
        <c:spPr>
          <a:solidFill>
            <a:schemeClr val="accent4">
              <a:shade val="76000"/>
            </a:schemeClr>
          </a:solidFill>
          <a:ln w="19050">
            <a:solidFill>
              <a:schemeClr val="lt1"/>
            </a:solidFill>
          </a:ln>
          <a:effectLst/>
        </c:spPr>
      </c:pivotFmt>
      <c:pivotFmt>
        <c:idx val="130"/>
        <c:spPr>
          <a:solidFill>
            <a:schemeClr val="accent4">
              <a:shade val="77000"/>
            </a:schemeClr>
          </a:solidFill>
          <a:ln w="19050">
            <a:solidFill>
              <a:schemeClr val="lt1"/>
            </a:solidFill>
          </a:ln>
          <a:effectLst/>
        </c:spPr>
      </c:pivotFmt>
      <c:pivotFmt>
        <c:idx val="131"/>
        <c:spPr>
          <a:solidFill>
            <a:schemeClr val="accent4">
              <a:shade val="78000"/>
            </a:schemeClr>
          </a:solidFill>
          <a:ln w="19050">
            <a:solidFill>
              <a:schemeClr val="lt1"/>
            </a:solidFill>
          </a:ln>
          <a:effectLst/>
        </c:spPr>
      </c:pivotFmt>
      <c:pivotFmt>
        <c:idx val="132"/>
        <c:spPr>
          <a:solidFill>
            <a:schemeClr val="accent4">
              <a:shade val="79000"/>
            </a:schemeClr>
          </a:solidFill>
          <a:ln w="19050">
            <a:solidFill>
              <a:schemeClr val="lt1"/>
            </a:solidFill>
          </a:ln>
          <a:effectLst/>
        </c:spPr>
      </c:pivotFmt>
      <c:pivotFmt>
        <c:idx val="133"/>
        <c:spPr>
          <a:solidFill>
            <a:schemeClr val="accent4">
              <a:shade val="80000"/>
            </a:schemeClr>
          </a:solidFill>
          <a:ln w="19050">
            <a:solidFill>
              <a:schemeClr val="lt1"/>
            </a:solidFill>
          </a:ln>
          <a:effectLst/>
        </c:spPr>
      </c:pivotFmt>
      <c:pivotFmt>
        <c:idx val="134"/>
        <c:spPr>
          <a:solidFill>
            <a:schemeClr val="accent4">
              <a:shade val="81000"/>
            </a:schemeClr>
          </a:solidFill>
          <a:ln w="19050">
            <a:solidFill>
              <a:schemeClr val="lt1"/>
            </a:solidFill>
          </a:ln>
          <a:effectLst/>
        </c:spPr>
      </c:pivotFmt>
      <c:pivotFmt>
        <c:idx val="135"/>
        <c:spPr>
          <a:solidFill>
            <a:schemeClr val="accent4">
              <a:shade val="82000"/>
            </a:schemeClr>
          </a:solidFill>
          <a:ln w="19050">
            <a:solidFill>
              <a:schemeClr val="lt1"/>
            </a:solidFill>
          </a:ln>
          <a:effectLst/>
        </c:spPr>
      </c:pivotFmt>
      <c:pivotFmt>
        <c:idx val="136"/>
        <c:spPr>
          <a:solidFill>
            <a:schemeClr val="accent4">
              <a:shade val="83000"/>
            </a:schemeClr>
          </a:solidFill>
          <a:ln w="19050">
            <a:solidFill>
              <a:schemeClr val="lt1"/>
            </a:solidFill>
          </a:ln>
          <a:effectLst/>
        </c:spPr>
      </c:pivotFmt>
      <c:pivotFmt>
        <c:idx val="137"/>
        <c:spPr>
          <a:solidFill>
            <a:schemeClr val="accent4">
              <a:shade val="84000"/>
            </a:schemeClr>
          </a:solidFill>
          <a:ln w="19050">
            <a:solidFill>
              <a:schemeClr val="lt1"/>
            </a:solidFill>
          </a:ln>
          <a:effectLst/>
        </c:spPr>
      </c:pivotFmt>
      <c:pivotFmt>
        <c:idx val="138"/>
        <c:spPr>
          <a:solidFill>
            <a:schemeClr val="accent4">
              <a:shade val="86000"/>
            </a:schemeClr>
          </a:solidFill>
          <a:ln w="19050">
            <a:solidFill>
              <a:schemeClr val="lt1"/>
            </a:solidFill>
          </a:ln>
          <a:effectLst/>
        </c:spPr>
      </c:pivotFmt>
      <c:pivotFmt>
        <c:idx val="139"/>
        <c:spPr>
          <a:solidFill>
            <a:schemeClr val="accent4">
              <a:shade val="87000"/>
            </a:schemeClr>
          </a:solidFill>
          <a:ln w="19050">
            <a:solidFill>
              <a:schemeClr val="lt1"/>
            </a:solidFill>
          </a:ln>
          <a:effectLst/>
        </c:spPr>
      </c:pivotFmt>
      <c:pivotFmt>
        <c:idx val="140"/>
        <c:spPr>
          <a:solidFill>
            <a:schemeClr val="accent4">
              <a:shade val="88000"/>
            </a:schemeClr>
          </a:solidFill>
          <a:ln w="19050">
            <a:solidFill>
              <a:schemeClr val="lt1"/>
            </a:solidFill>
          </a:ln>
          <a:effectLst/>
        </c:spPr>
      </c:pivotFmt>
      <c:pivotFmt>
        <c:idx val="141"/>
        <c:spPr>
          <a:solidFill>
            <a:schemeClr val="accent4">
              <a:shade val="89000"/>
            </a:schemeClr>
          </a:solidFill>
          <a:ln w="19050">
            <a:solidFill>
              <a:schemeClr val="lt1"/>
            </a:solidFill>
          </a:ln>
          <a:effectLst/>
        </c:spPr>
      </c:pivotFmt>
      <c:pivotFmt>
        <c:idx val="142"/>
        <c:spPr>
          <a:solidFill>
            <a:schemeClr val="accent4">
              <a:shade val="90000"/>
            </a:schemeClr>
          </a:solidFill>
          <a:ln w="19050">
            <a:solidFill>
              <a:schemeClr val="lt1"/>
            </a:solidFill>
          </a:ln>
          <a:effectLst/>
        </c:spPr>
      </c:pivotFmt>
      <c:pivotFmt>
        <c:idx val="143"/>
        <c:spPr>
          <a:solidFill>
            <a:schemeClr val="accent4">
              <a:shade val="91000"/>
            </a:schemeClr>
          </a:solidFill>
          <a:ln w="19050">
            <a:solidFill>
              <a:schemeClr val="lt1"/>
            </a:solidFill>
          </a:ln>
          <a:effectLst/>
        </c:spPr>
      </c:pivotFmt>
      <c:pivotFmt>
        <c:idx val="144"/>
        <c:spPr>
          <a:solidFill>
            <a:schemeClr val="accent4">
              <a:shade val="92000"/>
            </a:schemeClr>
          </a:solidFill>
          <a:ln w="19050">
            <a:solidFill>
              <a:schemeClr val="lt1"/>
            </a:solidFill>
          </a:ln>
          <a:effectLst/>
        </c:spPr>
      </c:pivotFmt>
      <c:pivotFmt>
        <c:idx val="145"/>
        <c:spPr>
          <a:solidFill>
            <a:schemeClr val="accent4">
              <a:shade val="93000"/>
            </a:schemeClr>
          </a:solidFill>
          <a:ln w="19050">
            <a:solidFill>
              <a:schemeClr val="lt1"/>
            </a:solidFill>
          </a:ln>
          <a:effectLst/>
        </c:spPr>
      </c:pivotFmt>
      <c:pivotFmt>
        <c:idx val="146"/>
        <c:spPr>
          <a:solidFill>
            <a:schemeClr val="accent4">
              <a:shade val="94000"/>
            </a:schemeClr>
          </a:solidFill>
          <a:ln w="19050">
            <a:solidFill>
              <a:schemeClr val="lt1"/>
            </a:solidFill>
          </a:ln>
          <a:effectLst/>
        </c:spPr>
      </c:pivotFmt>
      <c:pivotFmt>
        <c:idx val="147"/>
        <c:spPr>
          <a:solidFill>
            <a:schemeClr val="accent4">
              <a:shade val="95000"/>
            </a:schemeClr>
          </a:solidFill>
          <a:ln w="19050">
            <a:solidFill>
              <a:schemeClr val="lt1"/>
            </a:solidFill>
          </a:ln>
          <a:effectLst/>
        </c:spPr>
      </c:pivotFmt>
      <c:pivotFmt>
        <c:idx val="148"/>
        <c:spPr>
          <a:solidFill>
            <a:schemeClr val="accent4">
              <a:shade val="96000"/>
            </a:schemeClr>
          </a:solidFill>
          <a:ln w="19050">
            <a:solidFill>
              <a:schemeClr val="lt1"/>
            </a:solidFill>
          </a:ln>
          <a:effectLst/>
        </c:spPr>
      </c:pivotFmt>
      <c:pivotFmt>
        <c:idx val="149"/>
        <c:spPr>
          <a:solidFill>
            <a:schemeClr val="accent4">
              <a:shade val="97000"/>
            </a:schemeClr>
          </a:solidFill>
          <a:ln w="19050">
            <a:solidFill>
              <a:schemeClr val="lt1"/>
            </a:solidFill>
          </a:ln>
          <a:effectLst/>
        </c:spPr>
      </c:pivotFmt>
      <c:pivotFmt>
        <c:idx val="150"/>
        <c:spPr>
          <a:solidFill>
            <a:schemeClr val="accent4">
              <a:shade val="98000"/>
            </a:schemeClr>
          </a:solidFill>
          <a:ln w="19050">
            <a:solidFill>
              <a:schemeClr val="lt1"/>
            </a:solidFill>
          </a:ln>
          <a:effectLst/>
        </c:spPr>
      </c:pivotFmt>
      <c:pivotFmt>
        <c:idx val="151"/>
        <c:spPr>
          <a:solidFill>
            <a:schemeClr val="accent4">
              <a:shade val="99000"/>
            </a:schemeClr>
          </a:solidFill>
          <a:ln w="19050">
            <a:solidFill>
              <a:schemeClr val="lt1"/>
            </a:solidFill>
          </a:ln>
          <a:effectLst/>
        </c:spPr>
      </c:pivotFmt>
      <c:pivotFmt>
        <c:idx val="152"/>
        <c:spPr>
          <a:solidFill>
            <a:schemeClr val="accent4"/>
          </a:solidFill>
          <a:ln w="19050">
            <a:solidFill>
              <a:schemeClr val="lt1"/>
            </a:solidFill>
          </a:ln>
          <a:effectLst/>
        </c:spPr>
      </c:pivotFmt>
      <c:pivotFmt>
        <c:idx val="153"/>
        <c:spPr>
          <a:solidFill>
            <a:schemeClr val="accent4">
              <a:tint val="99000"/>
            </a:schemeClr>
          </a:solidFill>
          <a:ln w="19050">
            <a:solidFill>
              <a:schemeClr val="lt1"/>
            </a:solidFill>
          </a:ln>
          <a:effectLst/>
        </c:spPr>
      </c:pivotFmt>
      <c:pivotFmt>
        <c:idx val="154"/>
        <c:spPr>
          <a:solidFill>
            <a:schemeClr val="accent4">
              <a:tint val="98000"/>
            </a:schemeClr>
          </a:solidFill>
          <a:ln w="19050">
            <a:solidFill>
              <a:schemeClr val="lt1"/>
            </a:solidFill>
          </a:ln>
          <a:effectLst/>
        </c:spPr>
      </c:pivotFmt>
      <c:pivotFmt>
        <c:idx val="155"/>
        <c:spPr>
          <a:solidFill>
            <a:schemeClr val="accent4">
              <a:tint val="97000"/>
            </a:schemeClr>
          </a:solidFill>
          <a:ln w="19050">
            <a:solidFill>
              <a:schemeClr val="lt1"/>
            </a:solidFill>
          </a:ln>
          <a:effectLst/>
        </c:spPr>
      </c:pivotFmt>
      <c:pivotFmt>
        <c:idx val="156"/>
        <c:spPr>
          <a:solidFill>
            <a:schemeClr val="accent4">
              <a:tint val="96000"/>
            </a:schemeClr>
          </a:solidFill>
          <a:ln w="19050">
            <a:solidFill>
              <a:schemeClr val="lt1"/>
            </a:solidFill>
          </a:ln>
          <a:effectLst/>
        </c:spPr>
      </c:pivotFmt>
      <c:pivotFmt>
        <c:idx val="157"/>
        <c:spPr>
          <a:solidFill>
            <a:schemeClr val="accent4">
              <a:tint val="95000"/>
            </a:schemeClr>
          </a:solidFill>
          <a:ln w="19050">
            <a:solidFill>
              <a:schemeClr val="lt1"/>
            </a:solidFill>
          </a:ln>
          <a:effectLst/>
        </c:spPr>
      </c:pivotFmt>
      <c:pivotFmt>
        <c:idx val="158"/>
        <c:spPr>
          <a:solidFill>
            <a:schemeClr val="accent4">
              <a:tint val="94000"/>
            </a:schemeClr>
          </a:solidFill>
          <a:ln w="19050">
            <a:solidFill>
              <a:schemeClr val="lt1"/>
            </a:solidFill>
          </a:ln>
          <a:effectLst/>
        </c:spPr>
      </c:pivotFmt>
      <c:pivotFmt>
        <c:idx val="159"/>
        <c:spPr>
          <a:solidFill>
            <a:schemeClr val="accent4">
              <a:tint val="93000"/>
            </a:schemeClr>
          </a:solidFill>
          <a:ln w="19050">
            <a:solidFill>
              <a:schemeClr val="lt1"/>
            </a:solidFill>
          </a:ln>
          <a:effectLst/>
        </c:spPr>
      </c:pivotFmt>
      <c:pivotFmt>
        <c:idx val="160"/>
        <c:spPr>
          <a:solidFill>
            <a:schemeClr val="accent4">
              <a:tint val="92000"/>
            </a:schemeClr>
          </a:solidFill>
          <a:ln w="19050">
            <a:solidFill>
              <a:schemeClr val="lt1"/>
            </a:solidFill>
          </a:ln>
          <a:effectLst/>
        </c:spPr>
      </c:pivotFmt>
      <c:pivotFmt>
        <c:idx val="161"/>
        <c:spPr>
          <a:solidFill>
            <a:schemeClr val="accent4">
              <a:tint val="91000"/>
            </a:schemeClr>
          </a:solidFill>
          <a:ln w="19050">
            <a:solidFill>
              <a:schemeClr val="lt1"/>
            </a:solidFill>
          </a:ln>
          <a:effectLst/>
        </c:spPr>
      </c:pivotFmt>
      <c:pivotFmt>
        <c:idx val="162"/>
        <c:spPr>
          <a:solidFill>
            <a:schemeClr val="accent4">
              <a:tint val="90000"/>
            </a:schemeClr>
          </a:solidFill>
          <a:ln w="19050">
            <a:solidFill>
              <a:schemeClr val="lt1"/>
            </a:solidFill>
          </a:ln>
          <a:effectLst/>
        </c:spPr>
      </c:pivotFmt>
      <c:pivotFmt>
        <c:idx val="163"/>
        <c:spPr>
          <a:solidFill>
            <a:schemeClr val="accent4">
              <a:tint val="89000"/>
            </a:schemeClr>
          </a:solidFill>
          <a:ln w="19050">
            <a:solidFill>
              <a:schemeClr val="lt1"/>
            </a:solidFill>
          </a:ln>
          <a:effectLst/>
        </c:spPr>
      </c:pivotFmt>
      <c:pivotFmt>
        <c:idx val="164"/>
        <c:spPr>
          <a:solidFill>
            <a:schemeClr val="accent4">
              <a:tint val="88000"/>
            </a:schemeClr>
          </a:solidFill>
          <a:ln w="19050">
            <a:solidFill>
              <a:schemeClr val="lt1"/>
            </a:solidFill>
          </a:ln>
          <a:effectLst/>
        </c:spPr>
      </c:pivotFmt>
      <c:pivotFmt>
        <c:idx val="165"/>
        <c:spPr>
          <a:solidFill>
            <a:schemeClr val="accent4">
              <a:tint val="86000"/>
            </a:schemeClr>
          </a:solidFill>
          <a:ln w="19050">
            <a:solidFill>
              <a:schemeClr val="lt1"/>
            </a:solidFill>
          </a:ln>
          <a:effectLst/>
        </c:spPr>
      </c:pivotFmt>
      <c:pivotFmt>
        <c:idx val="166"/>
        <c:spPr>
          <a:solidFill>
            <a:schemeClr val="accent4">
              <a:tint val="85000"/>
            </a:schemeClr>
          </a:solidFill>
          <a:ln w="19050">
            <a:solidFill>
              <a:schemeClr val="lt1"/>
            </a:solidFill>
          </a:ln>
          <a:effectLst/>
        </c:spPr>
      </c:pivotFmt>
      <c:pivotFmt>
        <c:idx val="167"/>
        <c:spPr>
          <a:solidFill>
            <a:schemeClr val="accent4">
              <a:tint val="84000"/>
            </a:schemeClr>
          </a:solidFill>
          <a:ln w="19050">
            <a:solidFill>
              <a:schemeClr val="lt1"/>
            </a:solidFill>
          </a:ln>
          <a:effectLst/>
        </c:spPr>
      </c:pivotFmt>
      <c:pivotFmt>
        <c:idx val="168"/>
        <c:spPr>
          <a:solidFill>
            <a:schemeClr val="accent4">
              <a:tint val="83000"/>
            </a:schemeClr>
          </a:solidFill>
          <a:ln w="19050">
            <a:solidFill>
              <a:schemeClr val="lt1"/>
            </a:solidFill>
          </a:ln>
          <a:effectLst/>
        </c:spPr>
      </c:pivotFmt>
      <c:pivotFmt>
        <c:idx val="169"/>
        <c:spPr>
          <a:solidFill>
            <a:schemeClr val="accent4">
              <a:tint val="82000"/>
            </a:schemeClr>
          </a:solidFill>
          <a:ln w="19050">
            <a:solidFill>
              <a:schemeClr val="lt1"/>
            </a:solidFill>
          </a:ln>
          <a:effectLst/>
        </c:spPr>
      </c:pivotFmt>
      <c:pivotFmt>
        <c:idx val="170"/>
        <c:spPr>
          <a:solidFill>
            <a:schemeClr val="accent4">
              <a:tint val="81000"/>
            </a:schemeClr>
          </a:solidFill>
          <a:ln w="19050">
            <a:solidFill>
              <a:schemeClr val="lt1"/>
            </a:solidFill>
          </a:ln>
          <a:effectLst/>
        </c:spPr>
      </c:pivotFmt>
      <c:pivotFmt>
        <c:idx val="171"/>
        <c:spPr>
          <a:solidFill>
            <a:schemeClr val="accent4"/>
          </a:solidFill>
          <a:ln w="19050">
            <a:solidFill>
              <a:schemeClr val="lt1"/>
            </a:solidFill>
          </a:ln>
          <a:effectLst/>
        </c:spPr>
      </c:pivotFmt>
      <c:pivotFmt>
        <c:idx val="172"/>
        <c:spPr>
          <a:solidFill>
            <a:schemeClr val="accent4">
              <a:tint val="79000"/>
            </a:schemeClr>
          </a:solidFill>
          <a:ln w="19050">
            <a:solidFill>
              <a:schemeClr val="lt1"/>
            </a:solidFill>
          </a:ln>
          <a:effectLst/>
        </c:spPr>
      </c:pivotFmt>
      <c:pivotFmt>
        <c:idx val="173"/>
        <c:spPr>
          <a:solidFill>
            <a:schemeClr val="accent4">
              <a:tint val="78000"/>
            </a:schemeClr>
          </a:solidFill>
          <a:ln w="19050">
            <a:solidFill>
              <a:schemeClr val="lt1"/>
            </a:solidFill>
          </a:ln>
          <a:effectLst/>
        </c:spPr>
      </c:pivotFmt>
      <c:pivotFmt>
        <c:idx val="174"/>
        <c:spPr>
          <a:solidFill>
            <a:schemeClr val="accent4">
              <a:tint val="77000"/>
            </a:schemeClr>
          </a:solidFill>
          <a:ln w="19050">
            <a:solidFill>
              <a:schemeClr val="lt1"/>
            </a:solidFill>
          </a:ln>
          <a:effectLst/>
        </c:spPr>
      </c:pivotFmt>
      <c:pivotFmt>
        <c:idx val="175"/>
        <c:spPr>
          <a:solidFill>
            <a:schemeClr val="accent4">
              <a:tint val="76000"/>
            </a:schemeClr>
          </a:solidFill>
          <a:ln w="19050">
            <a:solidFill>
              <a:schemeClr val="lt1"/>
            </a:solidFill>
          </a:ln>
          <a:effectLst/>
        </c:spPr>
      </c:pivotFmt>
      <c:pivotFmt>
        <c:idx val="176"/>
        <c:spPr>
          <a:solidFill>
            <a:schemeClr val="accent4">
              <a:tint val="75000"/>
            </a:schemeClr>
          </a:solidFill>
          <a:ln w="19050">
            <a:solidFill>
              <a:schemeClr val="lt1"/>
            </a:solidFill>
          </a:ln>
          <a:effectLst/>
        </c:spPr>
      </c:pivotFmt>
      <c:pivotFmt>
        <c:idx val="177"/>
        <c:spPr>
          <a:solidFill>
            <a:schemeClr val="accent4">
              <a:tint val="74000"/>
            </a:schemeClr>
          </a:solidFill>
          <a:ln w="19050">
            <a:solidFill>
              <a:schemeClr val="lt1"/>
            </a:solidFill>
          </a:ln>
          <a:effectLst/>
        </c:spPr>
      </c:pivotFmt>
      <c:pivotFmt>
        <c:idx val="178"/>
        <c:spPr>
          <a:solidFill>
            <a:schemeClr val="accent4">
              <a:tint val="73000"/>
            </a:schemeClr>
          </a:solidFill>
          <a:ln w="19050">
            <a:solidFill>
              <a:schemeClr val="lt1"/>
            </a:solidFill>
          </a:ln>
          <a:effectLst/>
        </c:spPr>
      </c:pivotFmt>
      <c:pivotFmt>
        <c:idx val="179"/>
        <c:spPr>
          <a:solidFill>
            <a:schemeClr val="accent4">
              <a:tint val="72000"/>
            </a:schemeClr>
          </a:solidFill>
          <a:ln w="19050">
            <a:solidFill>
              <a:schemeClr val="lt1"/>
            </a:solidFill>
          </a:ln>
          <a:effectLst/>
        </c:spPr>
      </c:pivotFmt>
      <c:pivotFmt>
        <c:idx val="180"/>
        <c:spPr>
          <a:solidFill>
            <a:schemeClr val="accent4">
              <a:tint val="71000"/>
            </a:schemeClr>
          </a:solidFill>
          <a:ln w="19050">
            <a:solidFill>
              <a:schemeClr val="lt1"/>
            </a:solidFill>
          </a:ln>
          <a:effectLst/>
        </c:spPr>
      </c:pivotFmt>
      <c:pivotFmt>
        <c:idx val="181"/>
        <c:spPr>
          <a:solidFill>
            <a:schemeClr val="accent4">
              <a:tint val="70000"/>
            </a:schemeClr>
          </a:solidFill>
          <a:ln w="19050">
            <a:solidFill>
              <a:schemeClr val="lt1"/>
            </a:solidFill>
          </a:ln>
          <a:effectLst/>
        </c:spPr>
      </c:pivotFmt>
      <c:pivotFmt>
        <c:idx val="182"/>
        <c:spPr>
          <a:solidFill>
            <a:schemeClr val="accent4">
              <a:tint val="69000"/>
            </a:schemeClr>
          </a:solidFill>
          <a:ln w="19050">
            <a:solidFill>
              <a:schemeClr val="lt1"/>
            </a:solidFill>
          </a:ln>
          <a:effectLst/>
        </c:spPr>
      </c:pivotFmt>
      <c:pivotFmt>
        <c:idx val="183"/>
        <c:spPr>
          <a:solidFill>
            <a:schemeClr val="accent4">
              <a:tint val="68000"/>
            </a:schemeClr>
          </a:solidFill>
          <a:ln w="19050">
            <a:solidFill>
              <a:schemeClr val="lt1"/>
            </a:solidFill>
          </a:ln>
          <a:effectLst/>
        </c:spPr>
      </c:pivotFmt>
      <c:pivotFmt>
        <c:idx val="184"/>
        <c:spPr>
          <a:solidFill>
            <a:schemeClr val="accent4">
              <a:tint val="67000"/>
            </a:schemeClr>
          </a:solidFill>
          <a:ln w="19050">
            <a:solidFill>
              <a:schemeClr val="lt1"/>
            </a:solidFill>
          </a:ln>
          <a:effectLst/>
        </c:spPr>
      </c:pivotFmt>
      <c:pivotFmt>
        <c:idx val="185"/>
        <c:spPr>
          <a:solidFill>
            <a:schemeClr val="accent4">
              <a:tint val="66000"/>
            </a:schemeClr>
          </a:solidFill>
          <a:ln w="19050">
            <a:solidFill>
              <a:schemeClr val="lt1"/>
            </a:solidFill>
          </a:ln>
          <a:effectLst/>
        </c:spPr>
      </c:pivotFmt>
      <c:pivotFmt>
        <c:idx val="186"/>
        <c:spPr>
          <a:solidFill>
            <a:schemeClr val="accent4">
              <a:tint val="65000"/>
            </a:schemeClr>
          </a:solidFill>
          <a:ln w="19050">
            <a:solidFill>
              <a:schemeClr val="lt1"/>
            </a:solidFill>
          </a:ln>
          <a:effectLst/>
        </c:spPr>
      </c:pivotFmt>
      <c:pivotFmt>
        <c:idx val="187"/>
        <c:spPr>
          <a:solidFill>
            <a:schemeClr val="accent4">
              <a:tint val="64000"/>
            </a:schemeClr>
          </a:solidFill>
          <a:ln w="19050">
            <a:solidFill>
              <a:schemeClr val="lt1"/>
            </a:solidFill>
          </a:ln>
          <a:effectLst/>
        </c:spPr>
      </c:pivotFmt>
      <c:pivotFmt>
        <c:idx val="188"/>
        <c:spPr>
          <a:solidFill>
            <a:schemeClr val="accent4">
              <a:tint val="63000"/>
            </a:schemeClr>
          </a:solidFill>
          <a:ln w="19050">
            <a:solidFill>
              <a:schemeClr val="lt1"/>
            </a:solidFill>
          </a:ln>
          <a:effectLst/>
        </c:spPr>
      </c:pivotFmt>
      <c:pivotFmt>
        <c:idx val="189"/>
        <c:spPr>
          <a:solidFill>
            <a:schemeClr val="accent4">
              <a:tint val="62000"/>
            </a:schemeClr>
          </a:solidFill>
          <a:ln w="19050">
            <a:solidFill>
              <a:schemeClr val="lt1"/>
            </a:solidFill>
          </a:ln>
          <a:effectLst/>
        </c:spPr>
      </c:pivotFmt>
      <c:pivotFmt>
        <c:idx val="190"/>
        <c:spPr>
          <a:solidFill>
            <a:schemeClr val="accent4">
              <a:tint val="61000"/>
            </a:schemeClr>
          </a:solidFill>
          <a:ln w="19050">
            <a:solidFill>
              <a:schemeClr val="lt1"/>
            </a:solidFill>
          </a:ln>
          <a:effectLst/>
        </c:spPr>
      </c:pivotFmt>
      <c:pivotFmt>
        <c:idx val="191"/>
        <c:spPr>
          <a:solidFill>
            <a:schemeClr val="accent4">
              <a:tint val="60000"/>
            </a:schemeClr>
          </a:solidFill>
          <a:ln w="19050">
            <a:solidFill>
              <a:schemeClr val="lt1"/>
            </a:solidFill>
          </a:ln>
          <a:effectLst/>
        </c:spPr>
      </c:pivotFmt>
      <c:pivotFmt>
        <c:idx val="192"/>
        <c:spPr>
          <a:solidFill>
            <a:schemeClr val="accent4">
              <a:tint val="58000"/>
            </a:schemeClr>
          </a:solidFill>
          <a:ln w="19050">
            <a:solidFill>
              <a:schemeClr val="lt1"/>
            </a:solidFill>
          </a:ln>
          <a:effectLst/>
        </c:spPr>
      </c:pivotFmt>
      <c:pivotFmt>
        <c:idx val="193"/>
        <c:spPr>
          <a:solidFill>
            <a:schemeClr val="accent4">
              <a:tint val="57000"/>
            </a:schemeClr>
          </a:solidFill>
          <a:ln w="19050">
            <a:solidFill>
              <a:schemeClr val="lt1"/>
            </a:solidFill>
          </a:ln>
          <a:effectLst/>
        </c:spPr>
      </c:pivotFmt>
      <c:pivotFmt>
        <c:idx val="194"/>
        <c:spPr>
          <a:solidFill>
            <a:schemeClr val="accent4">
              <a:tint val="56000"/>
            </a:schemeClr>
          </a:solidFill>
          <a:ln w="19050">
            <a:solidFill>
              <a:schemeClr val="lt1"/>
            </a:solidFill>
          </a:ln>
          <a:effectLst/>
        </c:spPr>
      </c:pivotFmt>
      <c:pivotFmt>
        <c:idx val="195"/>
        <c:spPr>
          <a:solidFill>
            <a:schemeClr val="accent4">
              <a:tint val="55000"/>
            </a:schemeClr>
          </a:solidFill>
          <a:ln w="19050">
            <a:solidFill>
              <a:schemeClr val="lt1"/>
            </a:solidFill>
          </a:ln>
          <a:effectLst/>
        </c:spPr>
      </c:pivotFmt>
      <c:pivotFmt>
        <c:idx val="196"/>
        <c:spPr>
          <a:solidFill>
            <a:schemeClr val="accent4">
              <a:tint val="54000"/>
            </a:schemeClr>
          </a:solidFill>
          <a:ln w="19050">
            <a:solidFill>
              <a:schemeClr val="lt1"/>
            </a:solidFill>
          </a:ln>
          <a:effectLst/>
        </c:spPr>
      </c:pivotFmt>
      <c:pivotFmt>
        <c:idx val="197"/>
        <c:spPr>
          <a:solidFill>
            <a:schemeClr val="accent4">
              <a:tint val="53000"/>
            </a:schemeClr>
          </a:solidFill>
          <a:ln w="19050">
            <a:solidFill>
              <a:schemeClr val="lt1"/>
            </a:solidFill>
          </a:ln>
          <a:effectLst/>
        </c:spPr>
      </c:pivotFmt>
      <c:pivotFmt>
        <c:idx val="198"/>
        <c:spPr>
          <a:solidFill>
            <a:schemeClr val="accent4">
              <a:tint val="52000"/>
            </a:schemeClr>
          </a:solidFill>
          <a:ln w="19050">
            <a:solidFill>
              <a:schemeClr val="lt1"/>
            </a:solidFill>
          </a:ln>
          <a:effectLst/>
        </c:spPr>
      </c:pivotFmt>
      <c:pivotFmt>
        <c:idx val="199"/>
        <c:spPr>
          <a:solidFill>
            <a:schemeClr val="accent4">
              <a:tint val="51000"/>
            </a:schemeClr>
          </a:solidFill>
          <a:ln w="19050">
            <a:solidFill>
              <a:schemeClr val="lt1"/>
            </a:solidFill>
          </a:ln>
          <a:effectLst/>
        </c:spPr>
      </c:pivotFmt>
      <c:pivotFmt>
        <c:idx val="200"/>
        <c:spPr>
          <a:solidFill>
            <a:schemeClr val="accent4"/>
          </a:solidFill>
          <a:ln w="19050">
            <a:solidFill>
              <a:schemeClr val="lt1"/>
            </a:solidFill>
          </a:ln>
          <a:effectLst/>
        </c:spPr>
      </c:pivotFmt>
      <c:pivotFmt>
        <c:idx val="201"/>
        <c:spPr>
          <a:solidFill>
            <a:schemeClr val="accent4">
              <a:tint val="49000"/>
            </a:schemeClr>
          </a:solidFill>
          <a:ln w="19050">
            <a:solidFill>
              <a:schemeClr val="lt1"/>
            </a:solidFill>
          </a:ln>
          <a:effectLst/>
        </c:spPr>
      </c:pivotFmt>
      <c:pivotFmt>
        <c:idx val="202"/>
        <c:spPr>
          <a:solidFill>
            <a:schemeClr val="accent4">
              <a:tint val="48000"/>
            </a:schemeClr>
          </a:solidFill>
          <a:ln w="19050">
            <a:solidFill>
              <a:schemeClr val="lt1"/>
            </a:solidFill>
          </a:ln>
          <a:effectLst/>
        </c:spPr>
      </c:pivotFmt>
      <c:pivotFmt>
        <c:idx val="203"/>
        <c:spPr>
          <a:solidFill>
            <a:schemeClr val="accent4">
              <a:tint val="47000"/>
            </a:schemeClr>
          </a:solidFill>
          <a:ln w="19050">
            <a:solidFill>
              <a:schemeClr val="lt1"/>
            </a:solidFill>
          </a:ln>
          <a:effectLst/>
        </c:spPr>
      </c:pivotFmt>
      <c:pivotFmt>
        <c:idx val="204"/>
        <c:spPr>
          <a:solidFill>
            <a:schemeClr val="accent4">
              <a:tint val="46000"/>
            </a:schemeClr>
          </a:solidFill>
          <a:ln w="19050">
            <a:solidFill>
              <a:schemeClr val="lt1"/>
            </a:solidFill>
          </a:ln>
          <a:effectLst/>
        </c:spPr>
      </c:pivotFmt>
      <c:pivotFmt>
        <c:idx val="205"/>
        <c:spPr>
          <a:solidFill>
            <a:schemeClr val="accent4">
              <a:tint val="45000"/>
            </a:schemeClr>
          </a:solidFill>
          <a:ln w="19050">
            <a:solidFill>
              <a:schemeClr val="lt1"/>
            </a:solidFill>
          </a:ln>
          <a:effectLst/>
        </c:spPr>
      </c:pivotFmt>
      <c:pivotFmt>
        <c:idx val="206"/>
        <c:spPr>
          <a:solidFill>
            <a:schemeClr val="accent4">
              <a:tint val="44000"/>
            </a:schemeClr>
          </a:solidFill>
          <a:ln w="19050">
            <a:solidFill>
              <a:schemeClr val="lt1"/>
            </a:solidFill>
          </a:ln>
          <a:effectLst/>
        </c:spPr>
      </c:pivotFmt>
      <c:pivotFmt>
        <c:idx val="207"/>
        <c:spPr>
          <a:solidFill>
            <a:schemeClr val="accent4">
              <a:tint val="43000"/>
            </a:schemeClr>
          </a:solidFill>
          <a:ln w="19050">
            <a:solidFill>
              <a:schemeClr val="lt1"/>
            </a:solidFill>
          </a:ln>
          <a:effectLst/>
        </c:spPr>
      </c:pivotFmt>
      <c:pivotFmt>
        <c:idx val="208"/>
        <c:spPr>
          <a:solidFill>
            <a:schemeClr val="accent4">
              <a:tint val="42000"/>
            </a:schemeClr>
          </a:solidFill>
          <a:ln w="19050">
            <a:solidFill>
              <a:schemeClr val="lt1"/>
            </a:solidFill>
          </a:ln>
          <a:effectLst/>
        </c:spPr>
      </c:pivotFmt>
      <c:pivotFmt>
        <c:idx val="209"/>
        <c:spPr>
          <a:solidFill>
            <a:schemeClr val="accent4">
              <a:tint val="41000"/>
            </a:schemeClr>
          </a:solidFill>
          <a:ln w="19050">
            <a:solidFill>
              <a:schemeClr val="lt1"/>
            </a:solidFill>
          </a:ln>
          <a:effectLst/>
        </c:spPr>
      </c:pivotFmt>
      <c:pivotFmt>
        <c:idx val="210"/>
        <c:spPr>
          <a:solidFill>
            <a:schemeClr val="accent4">
              <a:tint val="40000"/>
            </a:schemeClr>
          </a:solidFill>
          <a:ln w="19050">
            <a:solidFill>
              <a:schemeClr val="lt1"/>
            </a:solidFill>
          </a:ln>
          <a:effectLst/>
        </c:spPr>
      </c:pivotFmt>
      <c:pivotFmt>
        <c:idx val="211"/>
        <c:spPr>
          <a:solidFill>
            <a:schemeClr val="accent4">
              <a:tint val="39000"/>
            </a:schemeClr>
          </a:solidFill>
          <a:ln w="19050">
            <a:solidFill>
              <a:schemeClr val="lt1"/>
            </a:solidFill>
          </a:ln>
          <a:effectLst/>
        </c:spPr>
      </c:pivotFmt>
      <c:pivotFmt>
        <c:idx val="212"/>
        <c:spPr>
          <a:solidFill>
            <a:schemeClr val="accent4">
              <a:tint val="38000"/>
            </a:schemeClr>
          </a:solidFill>
          <a:ln w="19050">
            <a:solidFill>
              <a:schemeClr val="lt1"/>
            </a:solidFill>
          </a:ln>
          <a:effectLst/>
        </c:spPr>
      </c:pivotFmt>
      <c:pivotFmt>
        <c:idx val="213"/>
        <c:spPr>
          <a:solidFill>
            <a:schemeClr val="accent4">
              <a:tint val="37000"/>
            </a:schemeClr>
          </a:solidFill>
          <a:ln w="19050">
            <a:solidFill>
              <a:schemeClr val="lt1"/>
            </a:solidFill>
          </a:ln>
          <a:effectLst/>
        </c:spPr>
      </c:pivotFmt>
      <c:pivotFmt>
        <c:idx val="214"/>
        <c:spPr>
          <a:solidFill>
            <a:schemeClr val="accent4">
              <a:tint val="36000"/>
            </a:schemeClr>
          </a:solidFill>
          <a:ln w="19050">
            <a:solidFill>
              <a:schemeClr val="lt1"/>
            </a:solidFill>
          </a:ln>
          <a:effectLst/>
        </c:spPr>
      </c:pivotFmt>
      <c:pivotFmt>
        <c:idx val="215"/>
        <c:spPr>
          <a:solidFill>
            <a:schemeClr val="accent4">
              <a:tint val="35000"/>
            </a:schemeClr>
          </a:solidFill>
          <a:ln w="19050">
            <a:solidFill>
              <a:schemeClr val="lt1"/>
            </a:solidFill>
          </a:ln>
          <a:effectLst/>
        </c:spPr>
      </c:pivotFmt>
      <c:pivotFmt>
        <c:idx val="216"/>
        <c:spPr>
          <a:solidFill>
            <a:schemeClr val="accent4">
              <a:tint val="34000"/>
            </a:schemeClr>
          </a:solidFill>
          <a:ln w="19050">
            <a:solidFill>
              <a:schemeClr val="lt1"/>
            </a:solidFill>
          </a:ln>
          <a:effectLst/>
        </c:spPr>
      </c:pivotFmt>
      <c:pivotFmt>
        <c:idx val="217"/>
        <c:spPr>
          <a:solidFill>
            <a:schemeClr val="accent4">
              <a:tint val="33000"/>
            </a:schemeClr>
          </a:solidFill>
          <a:ln w="19050">
            <a:solidFill>
              <a:schemeClr val="lt1"/>
            </a:solidFill>
          </a:ln>
          <a:effectLst/>
        </c:spPr>
      </c:pivotFmt>
      <c:pivotFmt>
        <c:idx val="218"/>
        <c:spPr>
          <a:solidFill>
            <a:schemeClr val="accent4">
              <a:tint val="32000"/>
            </a:schemeClr>
          </a:solidFill>
          <a:ln w="19050">
            <a:solidFill>
              <a:schemeClr val="lt1"/>
            </a:solidFill>
          </a:ln>
          <a:effectLst/>
        </c:spPr>
      </c:pivotFmt>
      <c:pivotFmt>
        <c:idx val="219"/>
        <c:spPr>
          <a:solidFill>
            <a:schemeClr val="accent4">
              <a:shade val="31000"/>
            </a:schemeClr>
          </a:solidFill>
          <a:ln w="19050">
            <a:solidFill>
              <a:schemeClr val="lt1"/>
            </a:solidFill>
          </a:ln>
          <a:effectLst/>
        </c:spPr>
      </c:pivotFmt>
      <c:pivotFmt>
        <c:idx val="220"/>
        <c:spPr>
          <a:solidFill>
            <a:schemeClr val="accent4">
              <a:shade val="32000"/>
            </a:schemeClr>
          </a:solidFill>
          <a:ln w="19050">
            <a:solidFill>
              <a:schemeClr val="lt1"/>
            </a:solidFill>
          </a:ln>
          <a:effectLst/>
        </c:spPr>
      </c:pivotFmt>
      <c:pivotFmt>
        <c:idx val="221"/>
        <c:spPr>
          <a:solidFill>
            <a:schemeClr val="accent4">
              <a:shade val="33000"/>
            </a:schemeClr>
          </a:solidFill>
          <a:ln w="19050">
            <a:solidFill>
              <a:schemeClr val="lt1"/>
            </a:solidFill>
          </a:ln>
          <a:effectLst/>
        </c:spPr>
      </c:pivotFmt>
      <c:pivotFmt>
        <c:idx val="222"/>
        <c:spPr>
          <a:solidFill>
            <a:schemeClr val="accent4">
              <a:shade val="34000"/>
            </a:schemeClr>
          </a:solidFill>
          <a:ln w="19050">
            <a:solidFill>
              <a:schemeClr val="lt1"/>
            </a:solidFill>
          </a:ln>
          <a:effectLst/>
        </c:spPr>
      </c:pivotFmt>
      <c:pivotFmt>
        <c:idx val="223"/>
        <c:spPr>
          <a:solidFill>
            <a:schemeClr val="accent4">
              <a:shade val="35000"/>
            </a:schemeClr>
          </a:solidFill>
          <a:ln w="19050">
            <a:solidFill>
              <a:schemeClr val="lt1"/>
            </a:solidFill>
          </a:ln>
          <a:effectLst/>
        </c:spPr>
      </c:pivotFmt>
      <c:pivotFmt>
        <c:idx val="224"/>
        <c:spPr>
          <a:solidFill>
            <a:schemeClr val="accent4">
              <a:shade val="36000"/>
            </a:schemeClr>
          </a:solidFill>
          <a:ln w="19050">
            <a:solidFill>
              <a:schemeClr val="lt1"/>
            </a:solidFill>
          </a:ln>
          <a:effectLst/>
        </c:spPr>
      </c:pivotFmt>
      <c:pivotFmt>
        <c:idx val="225"/>
        <c:spPr>
          <a:solidFill>
            <a:schemeClr val="accent4">
              <a:shade val="37000"/>
            </a:schemeClr>
          </a:solidFill>
          <a:ln w="19050">
            <a:solidFill>
              <a:schemeClr val="lt1"/>
            </a:solidFill>
          </a:ln>
          <a:effectLst/>
        </c:spPr>
      </c:pivotFmt>
      <c:pivotFmt>
        <c:idx val="226"/>
        <c:spPr>
          <a:solidFill>
            <a:schemeClr val="accent4">
              <a:shade val="38000"/>
            </a:schemeClr>
          </a:solidFill>
          <a:ln w="19050">
            <a:solidFill>
              <a:schemeClr val="lt1"/>
            </a:solidFill>
          </a:ln>
          <a:effectLst/>
        </c:spPr>
      </c:pivotFmt>
      <c:pivotFmt>
        <c:idx val="227"/>
        <c:spPr>
          <a:solidFill>
            <a:schemeClr val="accent4">
              <a:shade val="39000"/>
            </a:schemeClr>
          </a:solidFill>
          <a:ln w="19050">
            <a:solidFill>
              <a:schemeClr val="lt1"/>
            </a:solidFill>
          </a:ln>
          <a:effectLst/>
        </c:spPr>
      </c:pivotFmt>
      <c:pivotFmt>
        <c:idx val="228"/>
        <c:spPr>
          <a:solidFill>
            <a:schemeClr val="accent4">
              <a:shade val="40000"/>
            </a:schemeClr>
          </a:solidFill>
          <a:ln w="19050">
            <a:solidFill>
              <a:schemeClr val="lt1"/>
            </a:solidFill>
          </a:ln>
          <a:effectLst/>
        </c:spPr>
      </c:pivotFmt>
      <c:pivotFmt>
        <c:idx val="229"/>
        <c:spPr>
          <a:solidFill>
            <a:schemeClr val="accent4">
              <a:shade val="41000"/>
            </a:schemeClr>
          </a:solidFill>
          <a:ln w="19050">
            <a:solidFill>
              <a:schemeClr val="lt1"/>
            </a:solidFill>
          </a:ln>
          <a:effectLst/>
        </c:spPr>
      </c:pivotFmt>
      <c:pivotFmt>
        <c:idx val="230"/>
        <c:spPr>
          <a:solidFill>
            <a:schemeClr val="accent4">
              <a:shade val="42000"/>
            </a:schemeClr>
          </a:solidFill>
          <a:ln w="19050">
            <a:solidFill>
              <a:schemeClr val="lt1"/>
            </a:solidFill>
          </a:ln>
          <a:effectLst/>
        </c:spPr>
      </c:pivotFmt>
      <c:pivotFmt>
        <c:idx val="231"/>
        <c:spPr>
          <a:solidFill>
            <a:schemeClr val="accent4">
              <a:shade val="43000"/>
            </a:schemeClr>
          </a:solidFill>
          <a:ln w="19050">
            <a:solidFill>
              <a:schemeClr val="lt1"/>
            </a:solidFill>
          </a:ln>
          <a:effectLst/>
        </c:spPr>
      </c:pivotFmt>
      <c:pivotFmt>
        <c:idx val="232"/>
        <c:spPr>
          <a:solidFill>
            <a:schemeClr val="accent4">
              <a:shade val="44000"/>
            </a:schemeClr>
          </a:solidFill>
          <a:ln w="19050">
            <a:solidFill>
              <a:schemeClr val="lt1"/>
            </a:solidFill>
          </a:ln>
          <a:effectLst/>
        </c:spPr>
      </c:pivotFmt>
      <c:pivotFmt>
        <c:idx val="233"/>
        <c:spPr>
          <a:solidFill>
            <a:schemeClr val="accent4">
              <a:shade val="45000"/>
            </a:schemeClr>
          </a:solidFill>
          <a:ln w="19050">
            <a:solidFill>
              <a:schemeClr val="lt1"/>
            </a:solidFill>
          </a:ln>
          <a:effectLst/>
        </c:spPr>
      </c:pivotFmt>
      <c:pivotFmt>
        <c:idx val="234"/>
        <c:spPr>
          <a:solidFill>
            <a:schemeClr val="accent4">
              <a:shade val="46000"/>
            </a:schemeClr>
          </a:solidFill>
          <a:ln w="19050">
            <a:solidFill>
              <a:schemeClr val="lt1"/>
            </a:solidFill>
          </a:ln>
          <a:effectLst/>
        </c:spPr>
      </c:pivotFmt>
      <c:pivotFmt>
        <c:idx val="235"/>
        <c:spPr>
          <a:solidFill>
            <a:schemeClr val="accent4">
              <a:shade val="47000"/>
            </a:schemeClr>
          </a:solidFill>
          <a:ln w="19050">
            <a:solidFill>
              <a:schemeClr val="lt1"/>
            </a:solidFill>
          </a:ln>
          <a:effectLst/>
        </c:spPr>
      </c:pivotFmt>
      <c:pivotFmt>
        <c:idx val="236"/>
        <c:spPr>
          <a:solidFill>
            <a:schemeClr val="accent4">
              <a:shade val="48000"/>
            </a:schemeClr>
          </a:solidFill>
          <a:ln w="19050">
            <a:solidFill>
              <a:schemeClr val="lt1"/>
            </a:solidFill>
          </a:ln>
          <a:effectLst/>
        </c:spPr>
      </c:pivotFmt>
      <c:pivotFmt>
        <c:idx val="237"/>
        <c:spPr>
          <a:solidFill>
            <a:schemeClr val="accent4">
              <a:shade val="49000"/>
            </a:schemeClr>
          </a:solidFill>
          <a:ln w="19050">
            <a:solidFill>
              <a:schemeClr val="lt1"/>
            </a:solidFill>
          </a:ln>
          <a:effectLst/>
        </c:spPr>
      </c:pivotFmt>
      <c:pivotFmt>
        <c:idx val="238"/>
        <c:spPr>
          <a:solidFill>
            <a:schemeClr val="accent4">
              <a:shade val="50000"/>
            </a:schemeClr>
          </a:solidFill>
          <a:ln w="19050">
            <a:solidFill>
              <a:schemeClr val="lt1"/>
            </a:solidFill>
          </a:ln>
          <a:effectLst/>
        </c:spPr>
      </c:pivotFmt>
      <c:pivotFmt>
        <c:idx val="239"/>
        <c:spPr>
          <a:solidFill>
            <a:schemeClr val="accent4">
              <a:shade val="51000"/>
            </a:schemeClr>
          </a:solidFill>
          <a:ln w="19050">
            <a:solidFill>
              <a:schemeClr val="lt1"/>
            </a:solidFill>
          </a:ln>
          <a:effectLst/>
        </c:spPr>
      </c:pivotFmt>
      <c:pivotFmt>
        <c:idx val="240"/>
        <c:spPr>
          <a:solidFill>
            <a:schemeClr val="accent4">
              <a:shade val="52000"/>
            </a:schemeClr>
          </a:solidFill>
          <a:ln w="19050">
            <a:solidFill>
              <a:schemeClr val="lt1"/>
            </a:solidFill>
          </a:ln>
          <a:effectLst/>
        </c:spPr>
      </c:pivotFmt>
      <c:pivotFmt>
        <c:idx val="241"/>
        <c:spPr>
          <a:solidFill>
            <a:schemeClr val="accent4">
              <a:shade val="53000"/>
            </a:schemeClr>
          </a:solidFill>
          <a:ln w="19050">
            <a:solidFill>
              <a:schemeClr val="lt1"/>
            </a:solidFill>
          </a:ln>
          <a:effectLst/>
        </c:spPr>
      </c:pivotFmt>
      <c:pivotFmt>
        <c:idx val="242"/>
        <c:spPr>
          <a:solidFill>
            <a:schemeClr val="accent4">
              <a:shade val="54000"/>
            </a:schemeClr>
          </a:solidFill>
          <a:ln w="19050">
            <a:solidFill>
              <a:schemeClr val="lt1"/>
            </a:solidFill>
          </a:ln>
          <a:effectLst/>
        </c:spPr>
      </c:pivotFmt>
      <c:pivotFmt>
        <c:idx val="243"/>
        <c:spPr>
          <a:solidFill>
            <a:schemeClr val="accent4">
              <a:shade val="55000"/>
            </a:schemeClr>
          </a:solidFill>
          <a:ln w="19050">
            <a:solidFill>
              <a:schemeClr val="lt1"/>
            </a:solidFill>
          </a:ln>
          <a:effectLst/>
        </c:spPr>
      </c:pivotFmt>
      <c:pivotFmt>
        <c:idx val="244"/>
        <c:spPr>
          <a:solidFill>
            <a:schemeClr val="accent4">
              <a:shade val="56000"/>
            </a:schemeClr>
          </a:solidFill>
          <a:ln w="19050">
            <a:solidFill>
              <a:schemeClr val="lt1"/>
            </a:solidFill>
          </a:ln>
          <a:effectLst/>
        </c:spPr>
      </c:pivotFmt>
      <c:pivotFmt>
        <c:idx val="245"/>
        <c:spPr>
          <a:solidFill>
            <a:schemeClr val="accent4">
              <a:shade val="58000"/>
            </a:schemeClr>
          </a:solidFill>
          <a:ln w="19050">
            <a:solidFill>
              <a:schemeClr val="lt1"/>
            </a:solidFill>
          </a:ln>
          <a:effectLst/>
        </c:spPr>
      </c:pivotFmt>
      <c:pivotFmt>
        <c:idx val="246"/>
        <c:spPr>
          <a:solidFill>
            <a:schemeClr val="accent4">
              <a:shade val="59000"/>
            </a:schemeClr>
          </a:solidFill>
          <a:ln w="19050">
            <a:solidFill>
              <a:schemeClr val="lt1"/>
            </a:solidFill>
          </a:ln>
          <a:effectLst/>
        </c:spPr>
      </c:pivotFmt>
      <c:pivotFmt>
        <c:idx val="247"/>
        <c:spPr>
          <a:solidFill>
            <a:schemeClr val="accent4">
              <a:shade val="60000"/>
            </a:schemeClr>
          </a:solidFill>
          <a:ln w="19050">
            <a:solidFill>
              <a:schemeClr val="lt1"/>
            </a:solidFill>
          </a:ln>
          <a:effectLst/>
        </c:spPr>
      </c:pivotFmt>
      <c:pivotFmt>
        <c:idx val="248"/>
        <c:spPr>
          <a:solidFill>
            <a:schemeClr val="accent4">
              <a:shade val="61000"/>
            </a:schemeClr>
          </a:solidFill>
          <a:ln w="19050">
            <a:solidFill>
              <a:schemeClr val="lt1"/>
            </a:solidFill>
          </a:ln>
          <a:effectLst/>
        </c:spPr>
      </c:pivotFmt>
      <c:pivotFmt>
        <c:idx val="249"/>
        <c:spPr>
          <a:solidFill>
            <a:schemeClr val="accent4">
              <a:shade val="62000"/>
            </a:schemeClr>
          </a:solidFill>
          <a:ln w="19050">
            <a:solidFill>
              <a:schemeClr val="lt1"/>
            </a:solidFill>
          </a:ln>
          <a:effectLst/>
        </c:spPr>
      </c:pivotFmt>
      <c:pivotFmt>
        <c:idx val="250"/>
        <c:spPr>
          <a:solidFill>
            <a:schemeClr val="accent4">
              <a:shade val="63000"/>
            </a:schemeClr>
          </a:solidFill>
          <a:ln w="19050">
            <a:solidFill>
              <a:schemeClr val="lt1"/>
            </a:solidFill>
          </a:ln>
          <a:effectLst/>
        </c:spPr>
      </c:pivotFmt>
      <c:pivotFmt>
        <c:idx val="251"/>
        <c:spPr>
          <a:solidFill>
            <a:schemeClr val="accent4">
              <a:shade val="64000"/>
            </a:schemeClr>
          </a:solidFill>
          <a:ln w="19050">
            <a:solidFill>
              <a:schemeClr val="lt1"/>
            </a:solidFill>
          </a:ln>
          <a:effectLst/>
        </c:spPr>
      </c:pivotFmt>
      <c:pivotFmt>
        <c:idx val="252"/>
        <c:spPr>
          <a:solidFill>
            <a:schemeClr val="accent4">
              <a:shade val="65000"/>
            </a:schemeClr>
          </a:solidFill>
          <a:ln w="19050">
            <a:solidFill>
              <a:schemeClr val="lt1"/>
            </a:solidFill>
          </a:ln>
          <a:effectLst/>
        </c:spPr>
      </c:pivotFmt>
      <c:pivotFmt>
        <c:idx val="253"/>
        <c:spPr>
          <a:solidFill>
            <a:schemeClr val="accent4">
              <a:shade val="66000"/>
            </a:schemeClr>
          </a:solidFill>
          <a:ln w="19050">
            <a:solidFill>
              <a:schemeClr val="lt1"/>
            </a:solidFill>
          </a:ln>
          <a:effectLst/>
        </c:spPr>
      </c:pivotFmt>
      <c:pivotFmt>
        <c:idx val="254"/>
        <c:spPr>
          <a:solidFill>
            <a:schemeClr val="accent4">
              <a:shade val="67000"/>
            </a:schemeClr>
          </a:solidFill>
          <a:ln w="19050">
            <a:solidFill>
              <a:schemeClr val="lt1"/>
            </a:solidFill>
          </a:ln>
          <a:effectLst/>
        </c:spPr>
      </c:pivotFmt>
      <c:pivotFmt>
        <c:idx val="255"/>
        <c:spPr>
          <a:solidFill>
            <a:schemeClr val="accent4">
              <a:shade val="68000"/>
            </a:schemeClr>
          </a:solidFill>
          <a:ln w="19050">
            <a:solidFill>
              <a:schemeClr val="lt1"/>
            </a:solidFill>
          </a:ln>
          <a:effectLst/>
        </c:spPr>
      </c:pivotFmt>
      <c:pivotFmt>
        <c:idx val="256"/>
        <c:spPr>
          <a:solidFill>
            <a:schemeClr val="accent4">
              <a:shade val="69000"/>
            </a:schemeClr>
          </a:solidFill>
          <a:ln w="19050">
            <a:solidFill>
              <a:schemeClr val="lt1"/>
            </a:solidFill>
          </a:ln>
          <a:effectLst/>
        </c:spPr>
      </c:pivotFmt>
      <c:pivotFmt>
        <c:idx val="257"/>
        <c:spPr>
          <a:solidFill>
            <a:schemeClr val="accent4">
              <a:shade val="70000"/>
            </a:schemeClr>
          </a:solidFill>
          <a:ln w="19050">
            <a:solidFill>
              <a:schemeClr val="lt1"/>
            </a:solidFill>
          </a:ln>
          <a:effectLst/>
        </c:spPr>
      </c:pivotFmt>
      <c:pivotFmt>
        <c:idx val="258"/>
        <c:spPr>
          <a:solidFill>
            <a:schemeClr val="accent4">
              <a:shade val="71000"/>
            </a:schemeClr>
          </a:solidFill>
          <a:ln w="19050">
            <a:solidFill>
              <a:schemeClr val="lt1"/>
            </a:solidFill>
          </a:ln>
          <a:effectLst/>
        </c:spPr>
      </c:pivotFmt>
      <c:pivotFmt>
        <c:idx val="259"/>
        <c:spPr>
          <a:solidFill>
            <a:schemeClr val="accent4">
              <a:shade val="72000"/>
            </a:schemeClr>
          </a:solidFill>
          <a:ln w="19050">
            <a:solidFill>
              <a:schemeClr val="lt1"/>
            </a:solidFill>
          </a:ln>
          <a:effectLst/>
        </c:spPr>
      </c:pivotFmt>
      <c:pivotFmt>
        <c:idx val="260"/>
        <c:spPr>
          <a:solidFill>
            <a:schemeClr val="accent4">
              <a:shade val="73000"/>
            </a:schemeClr>
          </a:solidFill>
          <a:ln w="19050">
            <a:solidFill>
              <a:schemeClr val="lt1"/>
            </a:solidFill>
          </a:ln>
          <a:effectLst/>
        </c:spPr>
      </c:pivotFmt>
      <c:pivotFmt>
        <c:idx val="261"/>
        <c:spPr>
          <a:solidFill>
            <a:schemeClr val="accent4">
              <a:shade val="74000"/>
            </a:schemeClr>
          </a:solidFill>
          <a:ln w="19050">
            <a:solidFill>
              <a:schemeClr val="lt1"/>
            </a:solidFill>
          </a:ln>
          <a:effectLst/>
        </c:spPr>
      </c:pivotFmt>
      <c:pivotFmt>
        <c:idx val="262"/>
        <c:spPr>
          <a:solidFill>
            <a:schemeClr val="accent4">
              <a:shade val="75000"/>
            </a:schemeClr>
          </a:solidFill>
          <a:ln w="19050">
            <a:solidFill>
              <a:schemeClr val="lt1"/>
            </a:solidFill>
          </a:ln>
          <a:effectLst/>
        </c:spPr>
      </c:pivotFmt>
      <c:pivotFmt>
        <c:idx val="263"/>
        <c:spPr>
          <a:solidFill>
            <a:schemeClr val="accent4">
              <a:shade val="76000"/>
            </a:schemeClr>
          </a:solidFill>
          <a:ln w="19050">
            <a:solidFill>
              <a:schemeClr val="lt1"/>
            </a:solidFill>
          </a:ln>
          <a:effectLst/>
        </c:spPr>
      </c:pivotFmt>
      <c:pivotFmt>
        <c:idx val="264"/>
        <c:spPr>
          <a:solidFill>
            <a:schemeClr val="accent4">
              <a:shade val="77000"/>
            </a:schemeClr>
          </a:solidFill>
          <a:ln w="19050">
            <a:solidFill>
              <a:schemeClr val="lt1"/>
            </a:solidFill>
          </a:ln>
          <a:effectLst/>
        </c:spPr>
      </c:pivotFmt>
      <c:pivotFmt>
        <c:idx val="265"/>
        <c:spPr>
          <a:solidFill>
            <a:schemeClr val="accent4">
              <a:shade val="78000"/>
            </a:schemeClr>
          </a:solidFill>
          <a:ln w="19050">
            <a:solidFill>
              <a:schemeClr val="lt1"/>
            </a:solidFill>
          </a:ln>
          <a:effectLst/>
        </c:spPr>
      </c:pivotFmt>
      <c:pivotFmt>
        <c:idx val="266"/>
        <c:spPr>
          <a:solidFill>
            <a:schemeClr val="accent4">
              <a:shade val="79000"/>
            </a:schemeClr>
          </a:solidFill>
          <a:ln w="19050">
            <a:solidFill>
              <a:schemeClr val="lt1"/>
            </a:solidFill>
          </a:ln>
          <a:effectLst/>
        </c:spPr>
      </c:pivotFmt>
      <c:pivotFmt>
        <c:idx val="267"/>
        <c:spPr>
          <a:solidFill>
            <a:schemeClr val="accent4">
              <a:shade val="80000"/>
            </a:schemeClr>
          </a:solidFill>
          <a:ln w="19050">
            <a:solidFill>
              <a:schemeClr val="lt1"/>
            </a:solidFill>
          </a:ln>
          <a:effectLst/>
        </c:spPr>
      </c:pivotFmt>
      <c:pivotFmt>
        <c:idx val="268"/>
        <c:spPr>
          <a:solidFill>
            <a:schemeClr val="accent4">
              <a:shade val="81000"/>
            </a:schemeClr>
          </a:solidFill>
          <a:ln w="19050">
            <a:solidFill>
              <a:schemeClr val="lt1"/>
            </a:solidFill>
          </a:ln>
          <a:effectLst/>
        </c:spPr>
      </c:pivotFmt>
      <c:pivotFmt>
        <c:idx val="269"/>
        <c:spPr>
          <a:solidFill>
            <a:schemeClr val="accent4">
              <a:shade val="82000"/>
            </a:schemeClr>
          </a:solidFill>
          <a:ln w="19050">
            <a:solidFill>
              <a:schemeClr val="lt1"/>
            </a:solidFill>
          </a:ln>
          <a:effectLst/>
        </c:spPr>
      </c:pivotFmt>
      <c:pivotFmt>
        <c:idx val="270"/>
        <c:spPr>
          <a:solidFill>
            <a:schemeClr val="accent4">
              <a:shade val="83000"/>
            </a:schemeClr>
          </a:solidFill>
          <a:ln w="19050">
            <a:solidFill>
              <a:schemeClr val="lt1"/>
            </a:solidFill>
          </a:ln>
          <a:effectLst/>
        </c:spPr>
      </c:pivotFmt>
      <c:pivotFmt>
        <c:idx val="271"/>
        <c:spPr>
          <a:solidFill>
            <a:schemeClr val="accent4">
              <a:shade val="84000"/>
            </a:schemeClr>
          </a:solidFill>
          <a:ln w="19050">
            <a:solidFill>
              <a:schemeClr val="lt1"/>
            </a:solidFill>
          </a:ln>
          <a:effectLst/>
        </c:spPr>
      </c:pivotFmt>
      <c:pivotFmt>
        <c:idx val="272"/>
        <c:spPr>
          <a:solidFill>
            <a:schemeClr val="accent4">
              <a:shade val="86000"/>
            </a:schemeClr>
          </a:solidFill>
          <a:ln w="19050">
            <a:solidFill>
              <a:schemeClr val="lt1"/>
            </a:solidFill>
          </a:ln>
          <a:effectLst/>
        </c:spPr>
      </c:pivotFmt>
      <c:pivotFmt>
        <c:idx val="273"/>
        <c:spPr>
          <a:solidFill>
            <a:schemeClr val="accent4">
              <a:shade val="87000"/>
            </a:schemeClr>
          </a:solidFill>
          <a:ln w="19050">
            <a:solidFill>
              <a:schemeClr val="lt1"/>
            </a:solidFill>
          </a:ln>
          <a:effectLst/>
        </c:spPr>
      </c:pivotFmt>
      <c:pivotFmt>
        <c:idx val="274"/>
        <c:spPr>
          <a:solidFill>
            <a:schemeClr val="accent4">
              <a:shade val="88000"/>
            </a:schemeClr>
          </a:solidFill>
          <a:ln w="19050">
            <a:solidFill>
              <a:schemeClr val="lt1"/>
            </a:solidFill>
          </a:ln>
          <a:effectLst/>
        </c:spPr>
      </c:pivotFmt>
      <c:pivotFmt>
        <c:idx val="275"/>
        <c:spPr>
          <a:solidFill>
            <a:schemeClr val="accent4">
              <a:shade val="89000"/>
            </a:schemeClr>
          </a:solidFill>
          <a:ln w="19050">
            <a:solidFill>
              <a:schemeClr val="lt1"/>
            </a:solidFill>
          </a:ln>
          <a:effectLst/>
        </c:spPr>
      </c:pivotFmt>
      <c:pivotFmt>
        <c:idx val="276"/>
        <c:spPr>
          <a:solidFill>
            <a:schemeClr val="accent4">
              <a:shade val="90000"/>
            </a:schemeClr>
          </a:solidFill>
          <a:ln w="19050">
            <a:solidFill>
              <a:schemeClr val="lt1"/>
            </a:solidFill>
          </a:ln>
          <a:effectLst/>
        </c:spPr>
      </c:pivotFmt>
      <c:pivotFmt>
        <c:idx val="277"/>
        <c:spPr>
          <a:solidFill>
            <a:schemeClr val="accent4">
              <a:shade val="91000"/>
            </a:schemeClr>
          </a:solidFill>
          <a:ln w="19050">
            <a:solidFill>
              <a:schemeClr val="lt1"/>
            </a:solidFill>
          </a:ln>
          <a:effectLst/>
        </c:spPr>
      </c:pivotFmt>
      <c:pivotFmt>
        <c:idx val="278"/>
        <c:spPr>
          <a:solidFill>
            <a:schemeClr val="accent4">
              <a:shade val="92000"/>
            </a:schemeClr>
          </a:solidFill>
          <a:ln w="19050">
            <a:solidFill>
              <a:schemeClr val="lt1"/>
            </a:solidFill>
          </a:ln>
          <a:effectLst/>
        </c:spPr>
      </c:pivotFmt>
      <c:pivotFmt>
        <c:idx val="279"/>
        <c:spPr>
          <a:solidFill>
            <a:schemeClr val="accent4">
              <a:shade val="93000"/>
            </a:schemeClr>
          </a:solidFill>
          <a:ln w="19050">
            <a:solidFill>
              <a:schemeClr val="lt1"/>
            </a:solidFill>
          </a:ln>
          <a:effectLst/>
        </c:spPr>
      </c:pivotFmt>
      <c:pivotFmt>
        <c:idx val="280"/>
        <c:spPr>
          <a:solidFill>
            <a:schemeClr val="accent4">
              <a:shade val="94000"/>
            </a:schemeClr>
          </a:solidFill>
          <a:ln w="19050">
            <a:solidFill>
              <a:schemeClr val="lt1"/>
            </a:solidFill>
          </a:ln>
          <a:effectLst/>
        </c:spPr>
      </c:pivotFmt>
      <c:pivotFmt>
        <c:idx val="281"/>
        <c:spPr>
          <a:solidFill>
            <a:schemeClr val="accent4">
              <a:shade val="95000"/>
            </a:schemeClr>
          </a:solidFill>
          <a:ln w="19050">
            <a:solidFill>
              <a:schemeClr val="lt1"/>
            </a:solidFill>
          </a:ln>
          <a:effectLst/>
        </c:spPr>
      </c:pivotFmt>
      <c:pivotFmt>
        <c:idx val="282"/>
        <c:spPr>
          <a:solidFill>
            <a:schemeClr val="accent4">
              <a:shade val="96000"/>
            </a:schemeClr>
          </a:solidFill>
          <a:ln w="19050">
            <a:solidFill>
              <a:schemeClr val="lt1"/>
            </a:solidFill>
          </a:ln>
          <a:effectLst/>
        </c:spPr>
      </c:pivotFmt>
      <c:pivotFmt>
        <c:idx val="283"/>
        <c:spPr>
          <a:solidFill>
            <a:schemeClr val="accent4">
              <a:shade val="97000"/>
            </a:schemeClr>
          </a:solidFill>
          <a:ln w="19050">
            <a:solidFill>
              <a:schemeClr val="lt1"/>
            </a:solidFill>
          </a:ln>
          <a:effectLst/>
        </c:spPr>
      </c:pivotFmt>
      <c:pivotFmt>
        <c:idx val="284"/>
        <c:spPr>
          <a:solidFill>
            <a:schemeClr val="accent4">
              <a:shade val="98000"/>
            </a:schemeClr>
          </a:solidFill>
          <a:ln w="19050">
            <a:solidFill>
              <a:schemeClr val="lt1"/>
            </a:solidFill>
          </a:ln>
          <a:effectLst/>
        </c:spPr>
      </c:pivotFmt>
      <c:pivotFmt>
        <c:idx val="285"/>
        <c:spPr>
          <a:solidFill>
            <a:schemeClr val="accent4">
              <a:shade val="99000"/>
            </a:schemeClr>
          </a:solidFill>
          <a:ln w="19050">
            <a:solidFill>
              <a:schemeClr val="lt1"/>
            </a:solidFill>
          </a:ln>
          <a:effectLst/>
        </c:spPr>
      </c:pivotFmt>
      <c:pivotFmt>
        <c:idx val="286"/>
        <c:spPr>
          <a:solidFill>
            <a:schemeClr val="accent4"/>
          </a:solidFill>
          <a:ln w="19050">
            <a:solidFill>
              <a:schemeClr val="lt1"/>
            </a:solidFill>
          </a:ln>
          <a:effectLst/>
        </c:spPr>
      </c:pivotFmt>
      <c:pivotFmt>
        <c:idx val="287"/>
        <c:spPr>
          <a:solidFill>
            <a:schemeClr val="accent4">
              <a:tint val="99000"/>
            </a:schemeClr>
          </a:solidFill>
          <a:ln w="19050">
            <a:solidFill>
              <a:schemeClr val="lt1"/>
            </a:solidFill>
          </a:ln>
          <a:effectLst/>
        </c:spPr>
      </c:pivotFmt>
      <c:pivotFmt>
        <c:idx val="288"/>
        <c:spPr>
          <a:solidFill>
            <a:schemeClr val="accent4">
              <a:tint val="98000"/>
            </a:schemeClr>
          </a:solidFill>
          <a:ln w="19050">
            <a:solidFill>
              <a:schemeClr val="lt1"/>
            </a:solidFill>
          </a:ln>
          <a:effectLst/>
        </c:spPr>
      </c:pivotFmt>
      <c:pivotFmt>
        <c:idx val="289"/>
        <c:spPr>
          <a:solidFill>
            <a:schemeClr val="accent4">
              <a:tint val="97000"/>
            </a:schemeClr>
          </a:solidFill>
          <a:ln w="19050">
            <a:solidFill>
              <a:schemeClr val="lt1"/>
            </a:solidFill>
          </a:ln>
          <a:effectLst/>
        </c:spPr>
      </c:pivotFmt>
      <c:pivotFmt>
        <c:idx val="290"/>
        <c:spPr>
          <a:solidFill>
            <a:schemeClr val="accent4">
              <a:tint val="96000"/>
            </a:schemeClr>
          </a:solidFill>
          <a:ln w="19050">
            <a:solidFill>
              <a:schemeClr val="lt1"/>
            </a:solidFill>
          </a:ln>
          <a:effectLst/>
        </c:spPr>
      </c:pivotFmt>
      <c:pivotFmt>
        <c:idx val="291"/>
        <c:spPr>
          <a:solidFill>
            <a:schemeClr val="accent4">
              <a:tint val="95000"/>
            </a:schemeClr>
          </a:solidFill>
          <a:ln w="19050">
            <a:solidFill>
              <a:schemeClr val="lt1"/>
            </a:solidFill>
          </a:ln>
          <a:effectLst/>
        </c:spPr>
      </c:pivotFmt>
      <c:pivotFmt>
        <c:idx val="292"/>
        <c:spPr>
          <a:solidFill>
            <a:schemeClr val="accent4">
              <a:tint val="94000"/>
            </a:schemeClr>
          </a:solidFill>
          <a:ln w="19050">
            <a:solidFill>
              <a:schemeClr val="lt1"/>
            </a:solidFill>
          </a:ln>
          <a:effectLst/>
        </c:spPr>
      </c:pivotFmt>
      <c:pivotFmt>
        <c:idx val="293"/>
        <c:spPr>
          <a:solidFill>
            <a:schemeClr val="accent4">
              <a:tint val="93000"/>
            </a:schemeClr>
          </a:solidFill>
          <a:ln w="19050">
            <a:solidFill>
              <a:schemeClr val="lt1"/>
            </a:solidFill>
          </a:ln>
          <a:effectLst/>
        </c:spPr>
      </c:pivotFmt>
      <c:pivotFmt>
        <c:idx val="294"/>
        <c:spPr>
          <a:solidFill>
            <a:schemeClr val="accent4">
              <a:tint val="92000"/>
            </a:schemeClr>
          </a:solidFill>
          <a:ln w="19050">
            <a:solidFill>
              <a:schemeClr val="lt1"/>
            </a:solidFill>
          </a:ln>
          <a:effectLst/>
        </c:spPr>
      </c:pivotFmt>
      <c:pivotFmt>
        <c:idx val="295"/>
        <c:spPr>
          <a:solidFill>
            <a:schemeClr val="accent4">
              <a:tint val="91000"/>
            </a:schemeClr>
          </a:solidFill>
          <a:ln w="19050">
            <a:solidFill>
              <a:schemeClr val="lt1"/>
            </a:solidFill>
          </a:ln>
          <a:effectLst/>
        </c:spPr>
      </c:pivotFmt>
      <c:pivotFmt>
        <c:idx val="296"/>
        <c:spPr>
          <a:solidFill>
            <a:schemeClr val="accent4">
              <a:tint val="90000"/>
            </a:schemeClr>
          </a:solidFill>
          <a:ln w="19050">
            <a:solidFill>
              <a:schemeClr val="lt1"/>
            </a:solidFill>
          </a:ln>
          <a:effectLst/>
        </c:spPr>
      </c:pivotFmt>
      <c:pivotFmt>
        <c:idx val="297"/>
        <c:spPr>
          <a:solidFill>
            <a:schemeClr val="accent4">
              <a:tint val="89000"/>
            </a:schemeClr>
          </a:solidFill>
          <a:ln w="19050">
            <a:solidFill>
              <a:schemeClr val="lt1"/>
            </a:solidFill>
          </a:ln>
          <a:effectLst/>
        </c:spPr>
      </c:pivotFmt>
      <c:pivotFmt>
        <c:idx val="298"/>
        <c:spPr>
          <a:solidFill>
            <a:schemeClr val="accent4">
              <a:tint val="88000"/>
            </a:schemeClr>
          </a:solidFill>
          <a:ln w="19050">
            <a:solidFill>
              <a:schemeClr val="lt1"/>
            </a:solidFill>
          </a:ln>
          <a:effectLst/>
        </c:spPr>
      </c:pivotFmt>
      <c:pivotFmt>
        <c:idx val="299"/>
        <c:spPr>
          <a:solidFill>
            <a:schemeClr val="accent4">
              <a:tint val="86000"/>
            </a:schemeClr>
          </a:solidFill>
          <a:ln w="19050">
            <a:solidFill>
              <a:schemeClr val="lt1"/>
            </a:solidFill>
          </a:ln>
          <a:effectLst/>
        </c:spPr>
      </c:pivotFmt>
      <c:pivotFmt>
        <c:idx val="300"/>
        <c:spPr>
          <a:solidFill>
            <a:schemeClr val="accent4">
              <a:tint val="85000"/>
            </a:schemeClr>
          </a:solidFill>
          <a:ln w="19050">
            <a:solidFill>
              <a:schemeClr val="lt1"/>
            </a:solidFill>
          </a:ln>
          <a:effectLst/>
        </c:spPr>
      </c:pivotFmt>
      <c:pivotFmt>
        <c:idx val="301"/>
        <c:spPr>
          <a:solidFill>
            <a:schemeClr val="accent4">
              <a:tint val="84000"/>
            </a:schemeClr>
          </a:solidFill>
          <a:ln w="19050">
            <a:solidFill>
              <a:schemeClr val="lt1"/>
            </a:solidFill>
          </a:ln>
          <a:effectLst/>
        </c:spPr>
      </c:pivotFmt>
      <c:pivotFmt>
        <c:idx val="302"/>
        <c:spPr>
          <a:solidFill>
            <a:schemeClr val="accent4">
              <a:tint val="83000"/>
            </a:schemeClr>
          </a:solidFill>
          <a:ln w="19050">
            <a:solidFill>
              <a:schemeClr val="lt1"/>
            </a:solidFill>
          </a:ln>
          <a:effectLst/>
        </c:spPr>
      </c:pivotFmt>
      <c:pivotFmt>
        <c:idx val="303"/>
        <c:spPr>
          <a:solidFill>
            <a:schemeClr val="accent4">
              <a:tint val="82000"/>
            </a:schemeClr>
          </a:solidFill>
          <a:ln w="19050">
            <a:solidFill>
              <a:schemeClr val="lt1"/>
            </a:solidFill>
          </a:ln>
          <a:effectLst/>
        </c:spPr>
      </c:pivotFmt>
      <c:pivotFmt>
        <c:idx val="304"/>
        <c:spPr>
          <a:solidFill>
            <a:schemeClr val="accent4">
              <a:tint val="81000"/>
            </a:schemeClr>
          </a:solidFill>
          <a:ln w="19050">
            <a:solidFill>
              <a:schemeClr val="lt1"/>
            </a:solidFill>
          </a:ln>
          <a:effectLst/>
        </c:spPr>
      </c:pivotFmt>
      <c:pivotFmt>
        <c:idx val="305"/>
        <c:spPr>
          <a:solidFill>
            <a:schemeClr val="accent4"/>
          </a:solidFill>
          <a:ln w="19050">
            <a:solidFill>
              <a:schemeClr val="lt1"/>
            </a:solidFill>
          </a:ln>
          <a:effectLst/>
        </c:spPr>
      </c:pivotFmt>
      <c:pivotFmt>
        <c:idx val="306"/>
        <c:spPr>
          <a:solidFill>
            <a:schemeClr val="accent4">
              <a:tint val="79000"/>
            </a:schemeClr>
          </a:solidFill>
          <a:ln w="19050">
            <a:solidFill>
              <a:schemeClr val="lt1"/>
            </a:solidFill>
          </a:ln>
          <a:effectLst/>
        </c:spPr>
      </c:pivotFmt>
      <c:pivotFmt>
        <c:idx val="307"/>
        <c:spPr>
          <a:solidFill>
            <a:schemeClr val="accent4">
              <a:tint val="78000"/>
            </a:schemeClr>
          </a:solidFill>
          <a:ln w="19050">
            <a:solidFill>
              <a:schemeClr val="lt1"/>
            </a:solidFill>
          </a:ln>
          <a:effectLst/>
        </c:spPr>
      </c:pivotFmt>
      <c:pivotFmt>
        <c:idx val="308"/>
        <c:spPr>
          <a:solidFill>
            <a:schemeClr val="accent4">
              <a:tint val="77000"/>
            </a:schemeClr>
          </a:solidFill>
          <a:ln w="19050">
            <a:solidFill>
              <a:schemeClr val="lt1"/>
            </a:solidFill>
          </a:ln>
          <a:effectLst/>
        </c:spPr>
      </c:pivotFmt>
      <c:pivotFmt>
        <c:idx val="309"/>
        <c:spPr>
          <a:solidFill>
            <a:schemeClr val="accent4">
              <a:tint val="76000"/>
            </a:schemeClr>
          </a:solidFill>
          <a:ln w="19050">
            <a:solidFill>
              <a:schemeClr val="lt1"/>
            </a:solidFill>
          </a:ln>
          <a:effectLst/>
        </c:spPr>
      </c:pivotFmt>
      <c:pivotFmt>
        <c:idx val="310"/>
        <c:spPr>
          <a:solidFill>
            <a:schemeClr val="accent4">
              <a:tint val="75000"/>
            </a:schemeClr>
          </a:solidFill>
          <a:ln w="19050">
            <a:solidFill>
              <a:schemeClr val="lt1"/>
            </a:solidFill>
          </a:ln>
          <a:effectLst/>
        </c:spPr>
      </c:pivotFmt>
      <c:pivotFmt>
        <c:idx val="311"/>
        <c:spPr>
          <a:solidFill>
            <a:schemeClr val="accent4">
              <a:tint val="74000"/>
            </a:schemeClr>
          </a:solidFill>
          <a:ln w="19050">
            <a:solidFill>
              <a:schemeClr val="lt1"/>
            </a:solidFill>
          </a:ln>
          <a:effectLst/>
        </c:spPr>
      </c:pivotFmt>
      <c:pivotFmt>
        <c:idx val="312"/>
        <c:spPr>
          <a:solidFill>
            <a:schemeClr val="accent4">
              <a:tint val="73000"/>
            </a:schemeClr>
          </a:solidFill>
          <a:ln w="19050">
            <a:solidFill>
              <a:schemeClr val="lt1"/>
            </a:solidFill>
          </a:ln>
          <a:effectLst/>
        </c:spPr>
      </c:pivotFmt>
      <c:pivotFmt>
        <c:idx val="313"/>
        <c:spPr>
          <a:solidFill>
            <a:schemeClr val="accent4">
              <a:tint val="72000"/>
            </a:schemeClr>
          </a:solidFill>
          <a:ln w="19050">
            <a:solidFill>
              <a:schemeClr val="lt1"/>
            </a:solidFill>
          </a:ln>
          <a:effectLst/>
        </c:spPr>
      </c:pivotFmt>
      <c:pivotFmt>
        <c:idx val="314"/>
        <c:spPr>
          <a:solidFill>
            <a:schemeClr val="accent4">
              <a:tint val="71000"/>
            </a:schemeClr>
          </a:solidFill>
          <a:ln w="19050">
            <a:solidFill>
              <a:schemeClr val="lt1"/>
            </a:solidFill>
          </a:ln>
          <a:effectLst/>
        </c:spPr>
      </c:pivotFmt>
      <c:pivotFmt>
        <c:idx val="315"/>
        <c:spPr>
          <a:solidFill>
            <a:schemeClr val="accent4">
              <a:tint val="70000"/>
            </a:schemeClr>
          </a:solidFill>
          <a:ln w="19050">
            <a:solidFill>
              <a:schemeClr val="lt1"/>
            </a:solidFill>
          </a:ln>
          <a:effectLst/>
        </c:spPr>
      </c:pivotFmt>
      <c:pivotFmt>
        <c:idx val="316"/>
        <c:spPr>
          <a:solidFill>
            <a:schemeClr val="accent4">
              <a:tint val="69000"/>
            </a:schemeClr>
          </a:solidFill>
          <a:ln w="19050">
            <a:solidFill>
              <a:schemeClr val="lt1"/>
            </a:solidFill>
          </a:ln>
          <a:effectLst/>
        </c:spPr>
      </c:pivotFmt>
      <c:pivotFmt>
        <c:idx val="317"/>
        <c:spPr>
          <a:solidFill>
            <a:schemeClr val="accent4">
              <a:tint val="68000"/>
            </a:schemeClr>
          </a:solidFill>
          <a:ln w="19050">
            <a:solidFill>
              <a:schemeClr val="lt1"/>
            </a:solidFill>
          </a:ln>
          <a:effectLst/>
        </c:spPr>
      </c:pivotFmt>
      <c:pivotFmt>
        <c:idx val="318"/>
        <c:spPr>
          <a:solidFill>
            <a:schemeClr val="accent4">
              <a:tint val="67000"/>
            </a:schemeClr>
          </a:solidFill>
          <a:ln w="19050">
            <a:solidFill>
              <a:schemeClr val="lt1"/>
            </a:solidFill>
          </a:ln>
          <a:effectLst/>
        </c:spPr>
      </c:pivotFmt>
      <c:pivotFmt>
        <c:idx val="319"/>
        <c:spPr>
          <a:solidFill>
            <a:schemeClr val="accent4">
              <a:tint val="66000"/>
            </a:schemeClr>
          </a:solidFill>
          <a:ln w="19050">
            <a:solidFill>
              <a:schemeClr val="lt1"/>
            </a:solidFill>
          </a:ln>
          <a:effectLst/>
        </c:spPr>
      </c:pivotFmt>
      <c:pivotFmt>
        <c:idx val="320"/>
        <c:spPr>
          <a:solidFill>
            <a:schemeClr val="accent4">
              <a:tint val="65000"/>
            </a:schemeClr>
          </a:solidFill>
          <a:ln w="19050">
            <a:solidFill>
              <a:schemeClr val="lt1"/>
            </a:solidFill>
          </a:ln>
          <a:effectLst/>
        </c:spPr>
      </c:pivotFmt>
      <c:pivotFmt>
        <c:idx val="321"/>
        <c:spPr>
          <a:solidFill>
            <a:schemeClr val="accent4">
              <a:tint val="64000"/>
            </a:schemeClr>
          </a:solidFill>
          <a:ln w="19050">
            <a:solidFill>
              <a:schemeClr val="lt1"/>
            </a:solidFill>
          </a:ln>
          <a:effectLst/>
        </c:spPr>
      </c:pivotFmt>
      <c:pivotFmt>
        <c:idx val="322"/>
        <c:spPr>
          <a:solidFill>
            <a:schemeClr val="accent4">
              <a:tint val="63000"/>
            </a:schemeClr>
          </a:solidFill>
          <a:ln w="19050">
            <a:solidFill>
              <a:schemeClr val="lt1"/>
            </a:solidFill>
          </a:ln>
          <a:effectLst/>
        </c:spPr>
      </c:pivotFmt>
      <c:pivotFmt>
        <c:idx val="323"/>
        <c:spPr>
          <a:solidFill>
            <a:schemeClr val="accent4">
              <a:tint val="62000"/>
            </a:schemeClr>
          </a:solidFill>
          <a:ln w="19050">
            <a:solidFill>
              <a:schemeClr val="lt1"/>
            </a:solidFill>
          </a:ln>
          <a:effectLst/>
        </c:spPr>
      </c:pivotFmt>
      <c:pivotFmt>
        <c:idx val="324"/>
        <c:spPr>
          <a:solidFill>
            <a:schemeClr val="accent4">
              <a:tint val="61000"/>
            </a:schemeClr>
          </a:solidFill>
          <a:ln w="19050">
            <a:solidFill>
              <a:schemeClr val="lt1"/>
            </a:solidFill>
          </a:ln>
          <a:effectLst/>
        </c:spPr>
      </c:pivotFmt>
      <c:pivotFmt>
        <c:idx val="325"/>
        <c:spPr>
          <a:solidFill>
            <a:schemeClr val="accent4">
              <a:tint val="60000"/>
            </a:schemeClr>
          </a:solidFill>
          <a:ln w="19050">
            <a:solidFill>
              <a:schemeClr val="lt1"/>
            </a:solidFill>
          </a:ln>
          <a:effectLst/>
        </c:spPr>
      </c:pivotFmt>
      <c:pivotFmt>
        <c:idx val="326"/>
        <c:spPr>
          <a:solidFill>
            <a:schemeClr val="accent4">
              <a:tint val="58000"/>
            </a:schemeClr>
          </a:solidFill>
          <a:ln w="19050">
            <a:solidFill>
              <a:schemeClr val="lt1"/>
            </a:solidFill>
          </a:ln>
          <a:effectLst/>
        </c:spPr>
      </c:pivotFmt>
      <c:pivotFmt>
        <c:idx val="327"/>
        <c:spPr>
          <a:solidFill>
            <a:schemeClr val="accent4">
              <a:tint val="57000"/>
            </a:schemeClr>
          </a:solidFill>
          <a:ln w="19050">
            <a:solidFill>
              <a:schemeClr val="lt1"/>
            </a:solidFill>
          </a:ln>
          <a:effectLst/>
        </c:spPr>
      </c:pivotFmt>
      <c:pivotFmt>
        <c:idx val="328"/>
        <c:spPr>
          <a:solidFill>
            <a:schemeClr val="accent4">
              <a:tint val="56000"/>
            </a:schemeClr>
          </a:solidFill>
          <a:ln w="19050">
            <a:solidFill>
              <a:schemeClr val="lt1"/>
            </a:solidFill>
          </a:ln>
          <a:effectLst/>
        </c:spPr>
      </c:pivotFmt>
      <c:pivotFmt>
        <c:idx val="329"/>
        <c:spPr>
          <a:solidFill>
            <a:schemeClr val="accent4">
              <a:tint val="55000"/>
            </a:schemeClr>
          </a:solidFill>
          <a:ln w="19050">
            <a:solidFill>
              <a:schemeClr val="lt1"/>
            </a:solidFill>
          </a:ln>
          <a:effectLst/>
        </c:spPr>
      </c:pivotFmt>
      <c:pivotFmt>
        <c:idx val="330"/>
        <c:spPr>
          <a:solidFill>
            <a:schemeClr val="accent4">
              <a:tint val="54000"/>
            </a:schemeClr>
          </a:solidFill>
          <a:ln w="19050">
            <a:solidFill>
              <a:schemeClr val="lt1"/>
            </a:solidFill>
          </a:ln>
          <a:effectLst/>
        </c:spPr>
      </c:pivotFmt>
      <c:pivotFmt>
        <c:idx val="331"/>
        <c:spPr>
          <a:solidFill>
            <a:schemeClr val="accent4">
              <a:tint val="53000"/>
            </a:schemeClr>
          </a:solidFill>
          <a:ln w="19050">
            <a:solidFill>
              <a:schemeClr val="lt1"/>
            </a:solidFill>
          </a:ln>
          <a:effectLst/>
        </c:spPr>
      </c:pivotFmt>
      <c:pivotFmt>
        <c:idx val="332"/>
        <c:spPr>
          <a:solidFill>
            <a:schemeClr val="accent4">
              <a:tint val="52000"/>
            </a:schemeClr>
          </a:solidFill>
          <a:ln w="19050">
            <a:solidFill>
              <a:schemeClr val="lt1"/>
            </a:solidFill>
          </a:ln>
          <a:effectLst/>
        </c:spPr>
      </c:pivotFmt>
      <c:pivotFmt>
        <c:idx val="333"/>
        <c:spPr>
          <a:solidFill>
            <a:schemeClr val="accent4">
              <a:tint val="51000"/>
            </a:schemeClr>
          </a:solidFill>
          <a:ln w="19050">
            <a:solidFill>
              <a:schemeClr val="lt1"/>
            </a:solidFill>
          </a:ln>
          <a:effectLst/>
        </c:spPr>
      </c:pivotFmt>
      <c:pivotFmt>
        <c:idx val="334"/>
        <c:spPr>
          <a:solidFill>
            <a:schemeClr val="accent4"/>
          </a:solidFill>
          <a:ln w="19050">
            <a:solidFill>
              <a:schemeClr val="lt1"/>
            </a:solidFill>
          </a:ln>
          <a:effectLst/>
        </c:spPr>
      </c:pivotFmt>
      <c:pivotFmt>
        <c:idx val="335"/>
        <c:spPr>
          <a:solidFill>
            <a:schemeClr val="accent4">
              <a:tint val="49000"/>
            </a:schemeClr>
          </a:solidFill>
          <a:ln w="19050">
            <a:solidFill>
              <a:schemeClr val="lt1"/>
            </a:solidFill>
          </a:ln>
          <a:effectLst/>
        </c:spPr>
      </c:pivotFmt>
      <c:pivotFmt>
        <c:idx val="336"/>
        <c:spPr>
          <a:solidFill>
            <a:schemeClr val="accent4">
              <a:tint val="48000"/>
            </a:schemeClr>
          </a:solidFill>
          <a:ln w="19050">
            <a:solidFill>
              <a:schemeClr val="lt1"/>
            </a:solidFill>
          </a:ln>
          <a:effectLst/>
        </c:spPr>
      </c:pivotFmt>
      <c:pivotFmt>
        <c:idx val="337"/>
        <c:spPr>
          <a:solidFill>
            <a:schemeClr val="accent4">
              <a:tint val="47000"/>
            </a:schemeClr>
          </a:solidFill>
          <a:ln w="19050">
            <a:solidFill>
              <a:schemeClr val="lt1"/>
            </a:solidFill>
          </a:ln>
          <a:effectLst/>
        </c:spPr>
      </c:pivotFmt>
      <c:pivotFmt>
        <c:idx val="338"/>
        <c:spPr>
          <a:solidFill>
            <a:schemeClr val="accent4">
              <a:tint val="46000"/>
            </a:schemeClr>
          </a:solidFill>
          <a:ln w="19050">
            <a:solidFill>
              <a:schemeClr val="lt1"/>
            </a:solidFill>
          </a:ln>
          <a:effectLst/>
        </c:spPr>
      </c:pivotFmt>
      <c:pivotFmt>
        <c:idx val="339"/>
        <c:spPr>
          <a:solidFill>
            <a:schemeClr val="accent4">
              <a:tint val="45000"/>
            </a:schemeClr>
          </a:solidFill>
          <a:ln w="19050">
            <a:solidFill>
              <a:schemeClr val="lt1"/>
            </a:solidFill>
          </a:ln>
          <a:effectLst/>
        </c:spPr>
      </c:pivotFmt>
      <c:pivotFmt>
        <c:idx val="340"/>
        <c:spPr>
          <a:solidFill>
            <a:schemeClr val="accent4">
              <a:tint val="44000"/>
            </a:schemeClr>
          </a:solidFill>
          <a:ln w="19050">
            <a:solidFill>
              <a:schemeClr val="lt1"/>
            </a:solidFill>
          </a:ln>
          <a:effectLst/>
        </c:spPr>
      </c:pivotFmt>
      <c:pivotFmt>
        <c:idx val="341"/>
        <c:spPr>
          <a:solidFill>
            <a:schemeClr val="accent4">
              <a:tint val="43000"/>
            </a:schemeClr>
          </a:solidFill>
          <a:ln w="19050">
            <a:solidFill>
              <a:schemeClr val="lt1"/>
            </a:solidFill>
          </a:ln>
          <a:effectLst/>
        </c:spPr>
      </c:pivotFmt>
      <c:pivotFmt>
        <c:idx val="342"/>
        <c:spPr>
          <a:solidFill>
            <a:schemeClr val="accent4">
              <a:tint val="42000"/>
            </a:schemeClr>
          </a:solidFill>
          <a:ln w="19050">
            <a:solidFill>
              <a:schemeClr val="lt1"/>
            </a:solidFill>
          </a:ln>
          <a:effectLst/>
        </c:spPr>
      </c:pivotFmt>
      <c:pivotFmt>
        <c:idx val="343"/>
        <c:spPr>
          <a:solidFill>
            <a:schemeClr val="accent4">
              <a:tint val="41000"/>
            </a:schemeClr>
          </a:solidFill>
          <a:ln w="19050">
            <a:solidFill>
              <a:schemeClr val="lt1"/>
            </a:solidFill>
          </a:ln>
          <a:effectLst/>
        </c:spPr>
      </c:pivotFmt>
      <c:pivotFmt>
        <c:idx val="344"/>
        <c:spPr>
          <a:solidFill>
            <a:schemeClr val="accent4">
              <a:tint val="40000"/>
            </a:schemeClr>
          </a:solidFill>
          <a:ln w="19050">
            <a:solidFill>
              <a:schemeClr val="lt1"/>
            </a:solidFill>
          </a:ln>
          <a:effectLst/>
        </c:spPr>
      </c:pivotFmt>
      <c:pivotFmt>
        <c:idx val="345"/>
        <c:spPr>
          <a:solidFill>
            <a:schemeClr val="accent4">
              <a:tint val="39000"/>
            </a:schemeClr>
          </a:solidFill>
          <a:ln w="19050">
            <a:solidFill>
              <a:schemeClr val="lt1"/>
            </a:solidFill>
          </a:ln>
          <a:effectLst/>
        </c:spPr>
      </c:pivotFmt>
      <c:pivotFmt>
        <c:idx val="346"/>
        <c:spPr>
          <a:solidFill>
            <a:schemeClr val="accent4">
              <a:tint val="38000"/>
            </a:schemeClr>
          </a:solidFill>
          <a:ln w="19050">
            <a:solidFill>
              <a:schemeClr val="lt1"/>
            </a:solidFill>
          </a:ln>
          <a:effectLst/>
        </c:spPr>
      </c:pivotFmt>
      <c:pivotFmt>
        <c:idx val="347"/>
        <c:spPr>
          <a:solidFill>
            <a:schemeClr val="accent4">
              <a:tint val="37000"/>
            </a:schemeClr>
          </a:solidFill>
          <a:ln w="19050">
            <a:solidFill>
              <a:schemeClr val="lt1"/>
            </a:solidFill>
          </a:ln>
          <a:effectLst/>
        </c:spPr>
      </c:pivotFmt>
      <c:pivotFmt>
        <c:idx val="348"/>
        <c:spPr>
          <a:solidFill>
            <a:schemeClr val="accent4">
              <a:tint val="36000"/>
            </a:schemeClr>
          </a:solidFill>
          <a:ln w="19050">
            <a:solidFill>
              <a:schemeClr val="lt1"/>
            </a:solidFill>
          </a:ln>
          <a:effectLst/>
        </c:spPr>
      </c:pivotFmt>
      <c:pivotFmt>
        <c:idx val="349"/>
        <c:spPr>
          <a:solidFill>
            <a:schemeClr val="accent4">
              <a:tint val="35000"/>
            </a:schemeClr>
          </a:solidFill>
          <a:ln w="19050">
            <a:solidFill>
              <a:schemeClr val="lt1"/>
            </a:solidFill>
          </a:ln>
          <a:effectLst/>
        </c:spPr>
      </c:pivotFmt>
      <c:pivotFmt>
        <c:idx val="350"/>
        <c:spPr>
          <a:solidFill>
            <a:schemeClr val="accent4">
              <a:tint val="34000"/>
            </a:schemeClr>
          </a:solidFill>
          <a:ln w="19050">
            <a:solidFill>
              <a:schemeClr val="lt1"/>
            </a:solidFill>
          </a:ln>
          <a:effectLst/>
        </c:spPr>
      </c:pivotFmt>
      <c:pivotFmt>
        <c:idx val="351"/>
        <c:spPr>
          <a:solidFill>
            <a:schemeClr val="accent4">
              <a:tint val="33000"/>
            </a:schemeClr>
          </a:solidFill>
          <a:ln w="19050">
            <a:solidFill>
              <a:schemeClr val="lt1"/>
            </a:solidFill>
          </a:ln>
          <a:effectLst/>
        </c:spPr>
      </c:pivotFmt>
      <c:pivotFmt>
        <c:idx val="352"/>
        <c:spPr>
          <a:solidFill>
            <a:schemeClr val="accent4">
              <a:tint val="32000"/>
            </a:schemeClr>
          </a:solidFill>
          <a:ln w="19050">
            <a:solidFill>
              <a:schemeClr val="lt1"/>
            </a:solidFill>
          </a:ln>
          <a:effectLst/>
        </c:spPr>
      </c:pivotFmt>
      <c:pivotFmt>
        <c:idx val="35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4"/>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6"/>
        <c:spPr>
          <a:solidFill>
            <a:schemeClr val="accent4">
              <a:shade val="86000"/>
            </a:schemeClr>
          </a:solidFill>
          <a:ln w="19050">
            <a:solidFill>
              <a:schemeClr val="lt1"/>
            </a:solidFill>
          </a:ln>
          <a:effectLst/>
        </c:spPr>
        <c:dLbl>
          <c:idx val="0"/>
          <c:layout>
            <c:manualLayout>
              <c:x val="1.3186112635358739E-2"/>
              <c:y val="-3.603603603603603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7"/>
        <c:spPr>
          <a:solidFill>
            <a:schemeClr val="accent4">
              <a:shade val="58000"/>
            </a:schemeClr>
          </a:solidFill>
          <a:ln w="19050">
            <a:solidFill>
              <a:schemeClr val="lt1"/>
            </a:solidFill>
          </a:ln>
          <a:effectLst/>
        </c:spPr>
      </c:pivotFmt>
      <c:pivotFmt>
        <c:idx val="358"/>
        <c:spPr>
          <a:solidFill>
            <a:schemeClr val="accent4">
              <a:tint val="86000"/>
            </a:schemeClr>
          </a:solidFill>
          <a:ln w="19050">
            <a:solidFill>
              <a:schemeClr val="lt1"/>
            </a:solidFill>
          </a:ln>
          <a:effectLst/>
        </c:spPr>
      </c:pivotFmt>
      <c:pivotFmt>
        <c:idx val="359"/>
        <c:spPr>
          <a:solidFill>
            <a:schemeClr val="accent4">
              <a:tint val="58000"/>
            </a:schemeClr>
          </a:solidFill>
          <a:ln w="19050">
            <a:solidFill>
              <a:schemeClr val="lt1"/>
            </a:solidFill>
          </a:ln>
          <a:effectLst/>
        </c:spPr>
      </c:pivotFmt>
    </c:pivotFmts>
    <c:plotArea>
      <c:layout/>
      <c:pieChart>
        <c:varyColors val="1"/>
        <c:ser>
          <c:idx val="0"/>
          <c:order val="0"/>
          <c:tx>
            <c:strRef>
              <c:f>Charts!$C$134</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97D2-4276-B714-30A83B9E0CE6}"/>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10F-C02A-4F19-9149-A11B1F50AF7B}"/>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110-C02A-4F19-9149-A11B1F50AF7B}"/>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97D2-4276-B714-30A83B9E0CE6}"/>
              </c:ext>
            </c:extLst>
          </c:dPt>
          <c:dLbls>
            <c:dLbl>
              <c:idx val="1"/>
              <c:layout>
                <c:manualLayout>
                  <c:x val="1.3186112635358739E-2"/>
                  <c:y val="-3.60360360360360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10F-C02A-4F19-9149-A11B1F50AF7B}"/>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Charts!$B$135:$B$139</c:f>
              <c:strCache>
                <c:ptCount val="4"/>
                <c:pt idx="0">
                  <c:v>East</c:v>
                </c:pt>
                <c:pt idx="1">
                  <c:v>North</c:v>
                </c:pt>
                <c:pt idx="2">
                  <c:v>South</c:v>
                </c:pt>
                <c:pt idx="3">
                  <c:v>West</c:v>
                </c:pt>
              </c:strCache>
            </c:strRef>
          </c:cat>
          <c:val>
            <c:numRef>
              <c:f>Charts!$C$135:$C$139</c:f>
              <c:numCache>
                <c:formatCode>General</c:formatCode>
                <c:ptCount val="4"/>
                <c:pt idx="0">
                  <c:v>152004.8700000002</c:v>
                </c:pt>
                <c:pt idx="1">
                  <c:v>153945.06000000011</c:v>
                </c:pt>
                <c:pt idx="2">
                  <c:v>178994.76000000013</c:v>
                </c:pt>
                <c:pt idx="3">
                  <c:v>126485.69000000002</c:v>
                </c:pt>
              </c:numCache>
            </c:numRef>
          </c:val>
          <c:extLst>
            <c:ext xmlns:c16="http://schemas.microsoft.com/office/drawing/2014/chart" uri="{C3380CC4-5D6E-409C-BE32-E72D297353CC}">
              <c16:uniqueId val="{0000010E-C02A-4F19-9149-A11B1F50AF7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Lec 3 Task.xlsx]Charts!PivotTable11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4">
                    <a:lumMod val="75000"/>
                  </a:schemeClr>
                </a:solidFill>
              </a:rPr>
              <a:t>Monthly Trend of Total Revenue and Total Orders</a:t>
            </a:r>
            <a:endParaRPr lang="en-US">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Sum of Total Revenue </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Charts!$A$4:$A$10</c:f>
              <c:strCache>
                <c:ptCount val="6"/>
                <c:pt idx="0">
                  <c:v>January</c:v>
                </c:pt>
                <c:pt idx="1">
                  <c:v>February</c:v>
                </c:pt>
                <c:pt idx="2">
                  <c:v>March</c:v>
                </c:pt>
                <c:pt idx="3">
                  <c:v>April</c:v>
                </c:pt>
                <c:pt idx="4">
                  <c:v>May</c:v>
                </c:pt>
                <c:pt idx="5">
                  <c:v>June</c:v>
                </c:pt>
              </c:strCache>
            </c:strRef>
          </c:cat>
          <c:val>
            <c:numRef>
              <c:f>Charts!$B$4:$B$10</c:f>
              <c:numCache>
                <c:formatCode>General</c:formatCode>
                <c:ptCount val="6"/>
                <c:pt idx="0">
                  <c:v>99306.659999999989</c:v>
                </c:pt>
                <c:pt idx="1">
                  <c:v>119716.11000000004</c:v>
                </c:pt>
                <c:pt idx="2">
                  <c:v>110296.77000000005</c:v>
                </c:pt>
                <c:pt idx="3">
                  <c:v>97566.91</c:v>
                </c:pt>
                <c:pt idx="4">
                  <c:v>96777.180000000022</c:v>
                </c:pt>
                <c:pt idx="5">
                  <c:v>87766.750000000029</c:v>
                </c:pt>
              </c:numCache>
            </c:numRef>
          </c:val>
          <c:extLst>
            <c:ext xmlns:c16="http://schemas.microsoft.com/office/drawing/2014/chart" uri="{C3380CC4-5D6E-409C-BE32-E72D297353CC}">
              <c16:uniqueId val="{00000001-D222-44A8-B782-DB0ACCD5B165}"/>
            </c:ext>
          </c:extLst>
        </c:ser>
        <c:ser>
          <c:idx val="1"/>
          <c:order val="1"/>
          <c:tx>
            <c:strRef>
              <c:f>Charts!$C$3</c:f>
              <c:strCache>
                <c:ptCount val="1"/>
                <c:pt idx="0">
                  <c:v>Count of Order ID</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Charts!$A$4:$A$10</c:f>
              <c:strCache>
                <c:ptCount val="6"/>
                <c:pt idx="0">
                  <c:v>January</c:v>
                </c:pt>
                <c:pt idx="1">
                  <c:v>February</c:v>
                </c:pt>
                <c:pt idx="2">
                  <c:v>March</c:v>
                </c:pt>
                <c:pt idx="3">
                  <c:v>April</c:v>
                </c:pt>
                <c:pt idx="4">
                  <c:v>May</c:v>
                </c:pt>
                <c:pt idx="5">
                  <c:v>June</c:v>
                </c:pt>
              </c:strCache>
            </c:strRef>
          </c:cat>
          <c:val>
            <c:numRef>
              <c:f>Charts!$C$4:$C$10</c:f>
              <c:numCache>
                <c:formatCode>General</c:formatCode>
                <c:ptCount val="6"/>
                <c:pt idx="0">
                  <c:v>133</c:v>
                </c:pt>
                <c:pt idx="1">
                  <c:v>155</c:v>
                </c:pt>
                <c:pt idx="2">
                  <c:v>134</c:v>
                </c:pt>
                <c:pt idx="3">
                  <c:v>125</c:v>
                </c:pt>
                <c:pt idx="4">
                  <c:v>123</c:v>
                </c:pt>
                <c:pt idx="5">
                  <c:v>130</c:v>
                </c:pt>
              </c:numCache>
            </c:numRef>
          </c:val>
          <c:extLst>
            <c:ext xmlns:c16="http://schemas.microsoft.com/office/drawing/2014/chart" uri="{C3380CC4-5D6E-409C-BE32-E72D297353CC}">
              <c16:uniqueId val="{00000002-D222-44A8-B782-DB0ACCD5B165}"/>
            </c:ext>
          </c:extLst>
        </c:ser>
        <c:dLbls>
          <c:showLegendKey val="0"/>
          <c:showVal val="1"/>
          <c:showCatName val="0"/>
          <c:showSerName val="0"/>
          <c:showPercent val="0"/>
          <c:showBubbleSize val="0"/>
        </c:dLbls>
        <c:gapWidth val="219"/>
        <c:overlap val="-27"/>
        <c:axId val="674525535"/>
        <c:axId val="674509311"/>
      </c:barChart>
      <c:catAx>
        <c:axId val="67452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09311"/>
        <c:crosses val="autoZero"/>
        <c:auto val="1"/>
        <c:lblAlgn val="ctr"/>
        <c:lblOffset val="100"/>
        <c:noMultiLvlLbl val="0"/>
      </c:catAx>
      <c:valAx>
        <c:axId val="674509311"/>
        <c:scaling>
          <c:orientation val="minMax"/>
        </c:scaling>
        <c:delete val="1"/>
        <c:axPos val="l"/>
        <c:numFmt formatCode="General" sourceLinked="1"/>
        <c:majorTickMark val="out"/>
        <c:minorTickMark val="none"/>
        <c:tickLblPos val="nextTo"/>
        <c:crossAx val="67452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2</xdr:col>
      <xdr:colOff>104775</xdr:colOff>
      <xdr:row>0</xdr:row>
      <xdr:rowOff>141514</xdr:rowOff>
    </xdr:from>
    <xdr:ext cx="6267450" cy="4107213"/>
    <xdr:sp macro="" textlink="">
      <xdr:nvSpPr>
        <xdr:cNvPr id="3" name="Shape 3">
          <a:extLst>
            <a:ext uri="{FF2B5EF4-FFF2-40B4-BE49-F238E27FC236}">
              <a16:creationId xmlns:a16="http://schemas.microsoft.com/office/drawing/2014/main" id="{00000000-0008-0000-0000-000003000000}"/>
            </a:ext>
          </a:extLst>
        </xdr:cNvPr>
        <xdr:cNvSpPr txBox="1"/>
      </xdr:nvSpPr>
      <xdr:spPr>
        <a:xfrm>
          <a:off x="8348230" y="141514"/>
          <a:ext cx="6267450" cy="4107213"/>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 The Scenario:</a:t>
          </a:r>
          <a:endParaRPr sz="1400" b="1"/>
        </a:p>
        <a:p>
          <a:pPr marL="0" lvl="0" indent="0" algn="l" rtl="0">
            <a:spcBef>
              <a:spcPts val="0"/>
            </a:spcBef>
            <a:spcAft>
              <a:spcPts val="0"/>
            </a:spcAft>
            <a:buNone/>
          </a:pPr>
          <a:r>
            <a:rPr lang="en-US" sz="1100">
              <a:solidFill>
                <a:schemeClr val="dk1"/>
              </a:solidFill>
              <a:latin typeface="Calibri"/>
              <a:ea typeface="Calibri"/>
              <a:cs typeface="Calibri"/>
              <a:sym typeface="Calibri"/>
            </a:rPr>
            <a:t>    - You are hired as a  Data Analyst for a retail chain. The management wants a single-page interactive Dashboard to monitor sales performance and KPIs without looking at raw sheets.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b="1">
              <a:solidFill>
                <a:schemeClr val="dk1"/>
              </a:solidFill>
              <a:latin typeface="Calibri"/>
              <a:ea typeface="Calibri"/>
              <a:cs typeface="Calibri"/>
              <a:sym typeface="Calibri"/>
            </a:rPr>
            <a:t>• Your Mission (Building the Executive Dashboard):</a:t>
          </a:r>
          <a:endParaRPr sz="1400" b="1"/>
        </a:p>
        <a:p>
          <a:pPr marL="0" lvl="0" indent="0" algn="l" rtl="0">
            <a:spcBef>
              <a:spcPts val="0"/>
            </a:spcBef>
            <a:spcAft>
              <a:spcPts val="0"/>
            </a:spcAft>
            <a:buNone/>
          </a:pPr>
          <a:r>
            <a:rPr lang="en-US" sz="1100">
              <a:solidFill>
                <a:schemeClr val="dk1"/>
              </a:solidFill>
              <a:latin typeface="Calibri"/>
              <a:ea typeface="Calibri"/>
              <a:cs typeface="Calibri"/>
              <a:sym typeface="Calibri"/>
            </a:rPr>
            <a:t>   1. Create a relationship between them using the [Product ID].</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2. Analytical Framework (</a:t>
          </a:r>
          <a:r>
            <a:rPr lang="en-US" sz="1100" b="1">
              <a:solidFill>
                <a:schemeClr val="dk1"/>
              </a:solidFill>
              <a:latin typeface="Calibri"/>
              <a:ea typeface="Calibri"/>
              <a:cs typeface="Calibri"/>
              <a:sym typeface="Calibri"/>
            </a:rPr>
            <a:t>Pivot Tables</a:t>
          </a:r>
          <a:r>
            <a:rPr lang="en-US" sz="1100">
              <a:solidFill>
                <a:schemeClr val="dk1"/>
              </a:solidFill>
              <a:latin typeface="Calibri"/>
              <a:ea typeface="Calibri"/>
              <a:cs typeface="Calibri"/>
              <a:sym typeface="Calibri"/>
            </a:rPr>
            <a:t>): </a:t>
          </a:r>
        </a:p>
        <a:p>
          <a:pPr marL="0" lvl="0" indent="0" algn="l" rtl="0">
            <a:spcBef>
              <a:spcPts val="0"/>
            </a:spcBef>
            <a:spcAft>
              <a:spcPts val="0"/>
            </a:spcAft>
            <a:buNone/>
          </a:pPr>
          <a:r>
            <a:rPr lang="en-US" sz="1100">
              <a:solidFill>
                <a:schemeClr val="dk1"/>
              </a:solidFill>
              <a:latin typeface="Calibri"/>
              <a:ea typeface="Calibri"/>
              <a:cs typeface="Calibri"/>
              <a:sym typeface="Calibri"/>
            </a:rPr>
            <a:t>Create </a:t>
          </a:r>
          <a:r>
            <a:rPr lang="en-US" sz="1100" b="1">
              <a:solidFill>
                <a:schemeClr val="dk1"/>
              </a:solidFill>
              <a:latin typeface="Calibri"/>
              <a:ea typeface="Calibri"/>
              <a:cs typeface="Calibri"/>
              <a:sym typeface="Calibri"/>
            </a:rPr>
            <a:t>4</a:t>
          </a:r>
          <a:r>
            <a:rPr lang="en-US" sz="1100">
              <a:solidFill>
                <a:schemeClr val="dk1"/>
              </a:solidFill>
              <a:latin typeface="Calibri"/>
              <a:ea typeface="Calibri"/>
              <a:cs typeface="Calibri"/>
              <a:sym typeface="Calibri"/>
            </a:rPr>
            <a:t> hidden backend Pivot Tables to answer these business questions:</a:t>
          </a:r>
          <a:endParaRPr sz="1400"/>
        </a:p>
        <a:p>
          <a:pPr marL="0" lvl="0" indent="0" algn="l" rtl="0">
            <a:spcBef>
              <a:spcPts val="0"/>
            </a:spcBef>
            <a:spcAft>
              <a:spcPts val="0"/>
            </a:spcAft>
            <a:buNone/>
          </a:pPr>
          <a:r>
            <a:rPr lang="en-US" sz="1100" b="1">
              <a:solidFill>
                <a:schemeClr val="dk1"/>
              </a:solidFill>
              <a:latin typeface="Calibri"/>
              <a:ea typeface="Calibri"/>
              <a:cs typeface="Calibri"/>
              <a:sym typeface="Calibri"/>
            </a:rPr>
            <a:t>        - What is the </a:t>
          </a:r>
          <a:r>
            <a:rPr lang="en-US" sz="1100" b="1">
              <a:solidFill>
                <a:srgbClr val="FF0000"/>
              </a:solidFill>
              <a:latin typeface="Calibri"/>
              <a:ea typeface="Calibri"/>
              <a:cs typeface="Calibri"/>
              <a:sym typeface="Calibri"/>
            </a:rPr>
            <a:t>Total Revenue </a:t>
          </a:r>
          <a:r>
            <a:rPr lang="en-US" sz="1100" b="1">
              <a:solidFill>
                <a:schemeClr val="dk1"/>
              </a:solidFill>
              <a:latin typeface="Calibri"/>
              <a:ea typeface="Calibri"/>
              <a:cs typeface="Calibri"/>
              <a:sym typeface="Calibri"/>
            </a:rPr>
            <a:t>&amp; </a:t>
          </a:r>
          <a:r>
            <a:rPr lang="en-US" sz="1100" b="1">
              <a:solidFill>
                <a:srgbClr val="FF0000"/>
              </a:solidFill>
              <a:latin typeface="Calibri"/>
              <a:ea typeface="Calibri"/>
              <a:cs typeface="Calibri"/>
              <a:sym typeface="Calibri"/>
            </a:rPr>
            <a:t>Total Orders </a:t>
          </a:r>
          <a:r>
            <a:rPr lang="en-US" sz="1100" b="1">
              <a:solidFill>
                <a:schemeClr val="dk1"/>
              </a:solidFill>
              <a:latin typeface="Calibri"/>
              <a:ea typeface="Calibri"/>
              <a:cs typeface="Calibri"/>
              <a:sym typeface="Calibri"/>
            </a:rPr>
            <a:t>Trend over time (</a:t>
          </a:r>
          <a:r>
            <a:rPr lang="en-US" sz="1100" b="1">
              <a:solidFill>
                <a:srgbClr val="FF0000"/>
              </a:solidFill>
              <a:latin typeface="Calibri"/>
              <a:ea typeface="Calibri"/>
              <a:cs typeface="Calibri"/>
              <a:sym typeface="Calibri"/>
            </a:rPr>
            <a:t>Monthly</a:t>
          </a:r>
          <a:r>
            <a:rPr lang="en-US" sz="1100" b="1">
              <a:solidFill>
                <a:schemeClr val="dk1"/>
              </a:solidFill>
              <a:latin typeface="Calibri"/>
              <a:ea typeface="Calibri"/>
              <a:cs typeface="Calibri"/>
              <a:sym typeface="Calibri"/>
            </a:rPr>
            <a:t> Analysis)?</a:t>
          </a:r>
          <a:endParaRPr sz="1400" b="1"/>
        </a:p>
        <a:p>
          <a:pPr marL="0" lvl="0" indent="0" algn="l" rtl="0">
            <a:spcBef>
              <a:spcPts val="0"/>
            </a:spcBef>
            <a:spcAft>
              <a:spcPts val="0"/>
            </a:spcAft>
            <a:buNone/>
          </a:pPr>
          <a:r>
            <a:rPr lang="en-US" sz="1100" b="1">
              <a:solidFill>
                <a:schemeClr val="dk1"/>
              </a:solidFill>
              <a:latin typeface="Calibri"/>
              <a:ea typeface="Calibri"/>
              <a:cs typeface="Calibri"/>
              <a:sym typeface="Calibri"/>
            </a:rPr>
            <a:t>        - Which </a:t>
          </a:r>
          <a:r>
            <a:rPr lang="en-US" sz="1100" b="1">
              <a:solidFill>
                <a:srgbClr val="FF0000"/>
              </a:solidFill>
              <a:latin typeface="Calibri"/>
              <a:ea typeface="Calibri"/>
              <a:cs typeface="Calibri"/>
              <a:sym typeface="Calibri"/>
            </a:rPr>
            <a:t>Product Categories </a:t>
          </a:r>
          <a:r>
            <a:rPr lang="en-US" sz="1100" b="1">
              <a:solidFill>
                <a:schemeClr val="dk1"/>
              </a:solidFill>
              <a:latin typeface="Calibri"/>
              <a:ea typeface="Calibri"/>
              <a:cs typeface="Calibri"/>
              <a:sym typeface="Calibri"/>
            </a:rPr>
            <a:t>are generating the highest </a:t>
          </a:r>
          <a:r>
            <a:rPr lang="en-US" sz="1100" b="1">
              <a:solidFill>
                <a:srgbClr val="FF0000"/>
              </a:solidFill>
              <a:latin typeface="Calibri"/>
              <a:ea typeface="Calibri"/>
              <a:cs typeface="Calibri"/>
              <a:sym typeface="Calibri"/>
            </a:rPr>
            <a:t>revenue</a:t>
          </a:r>
          <a:r>
            <a:rPr lang="en-US" sz="1100" b="1">
              <a:solidFill>
                <a:schemeClr val="dk1"/>
              </a:solidFill>
              <a:latin typeface="Calibri"/>
              <a:ea typeface="Calibri"/>
              <a:cs typeface="Calibri"/>
              <a:sym typeface="Calibri"/>
            </a:rPr>
            <a:t>?</a:t>
          </a:r>
          <a:endParaRPr sz="1400" b="1"/>
        </a:p>
        <a:p>
          <a:pPr marL="0" lvl="0" indent="0" algn="l" rtl="0">
            <a:spcBef>
              <a:spcPts val="0"/>
            </a:spcBef>
            <a:spcAft>
              <a:spcPts val="0"/>
            </a:spcAft>
            <a:buNone/>
          </a:pPr>
          <a:r>
            <a:rPr lang="en-US" sz="1100" b="1">
              <a:solidFill>
                <a:schemeClr val="dk1"/>
              </a:solidFill>
              <a:latin typeface="Calibri"/>
              <a:ea typeface="Calibri"/>
              <a:cs typeface="Calibri"/>
              <a:sym typeface="Calibri"/>
            </a:rPr>
            <a:t>        - Who are the </a:t>
          </a:r>
          <a:r>
            <a:rPr lang="en-US" sz="1100" b="1">
              <a:solidFill>
                <a:srgbClr val="FF0000"/>
              </a:solidFill>
              <a:latin typeface="Calibri"/>
              <a:ea typeface="Calibri"/>
              <a:cs typeface="Calibri"/>
              <a:sym typeface="Calibri"/>
            </a:rPr>
            <a:t>Top 5</a:t>
          </a:r>
          <a:r>
            <a:rPr lang="en-US" sz="1100" b="1">
              <a:solidFill>
                <a:schemeClr val="dk1"/>
              </a:solidFill>
              <a:latin typeface="Calibri"/>
              <a:ea typeface="Calibri"/>
              <a:cs typeface="Calibri"/>
              <a:sym typeface="Calibri"/>
            </a:rPr>
            <a:t> </a:t>
          </a:r>
          <a:r>
            <a:rPr lang="en-US" sz="1100" b="1">
              <a:solidFill>
                <a:srgbClr val="FF0000"/>
              </a:solidFill>
              <a:latin typeface="Calibri"/>
              <a:ea typeface="Calibri"/>
              <a:cs typeface="Calibri"/>
              <a:sym typeface="Calibri"/>
            </a:rPr>
            <a:t>Salesmen</a:t>
          </a:r>
          <a:r>
            <a:rPr lang="en-US" sz="1100" b="1">
              <a:solidFill>
                <a:schemeClr val="dk1"/>
              </a:solidFill>
              <a:latin typeface="Calibri"/>
              <a:ea typeface="Calibri"/>
              <a:cs typeface="Calibri"/>
              <a:sym typeface="Calibri"/>
            </a:rPr>
            <a:t> based on </a:t>
          </a:r>
          <a:r>
            <a:rPr lang="en-US" sz="1100" b="1">
              <a:solidFill>
                <a:srgbClr val="FF0000"/>
              </a:solidFill>
              <a:latin typeface="Calibri"/>
              <a:ea typeface="Calibri"/>
              <a:cs typeface="Calibri"/>
              <a:sym typeface="Calibri"/>
            </a:rPr>
            <a:t>performance</a:t>
          </a:r>
          <a:r>
            <a:rPr lang="en-US" sz="1100" b="1">
              <a:solidFill>
                <a:schemeClr val="dk1"/>
              </a:solidFill>
              <a:latin typeface="Calibri"/>
              <a:ea typeface="Calibri"/>
              <a:cs typeface="Calibri"/>
              <a:sym typeface="Calibri"/>
            </a:rPr>
            <a:t>?</a:t>
          </a:r>
          <a:endParaRPr sz="1400" b="1"/>
        </a:p>
        <a:p>
          <a:pPr marL="0" lvl="0" indent="0" algn="l" rtl="0">
            <a:spcBef>
              <a:spcPts val="0"/>
            </a:spcBef>
            <a:spcAft>
              <a:spcPts val="0"/>
            </a:spcAft>
            <a:buNone/>
          </a:pPr>
          <a:r>
            <a:rPr lang="en-US" sz="1100" b="1">
              <a:solidFill>
                <a:schemeClr val="dk1"/>
              </a:solidFill>
              <a:latin typeface="Calibri"/>
              <a:ea typeface="Calibri"/>
              <a:cs typeface="Calibri"/>
              <a:sym typeface="Calibri"/>
            </a:rPr>
            <a:t>        - How is </a:t>
          </a:r>
          <a:r>
            <a:rPr lang="en-US" sz="1100" b="1">
              <a:solidFill>
                <a:srgbClr val="FF0000"/>
              </a:solidFill>
              <a:latin typeface="Calibri"/>
              <a:ea typeface="Calibri"/>
              <a:cs typeface="Calibri"/>
              <a:sym typeface="Calibri"/>
            </a:rPr>
            <a:t>revenue</a:t>
          </a:r>
          <a:r>
            <a:rPr lang="en-US" sz="1100" b="1">
              <a:solidFill>
                <a:schemeClr val="dk1"/>
              </a:solidFill>
              <a:latin typeface="Calibri"/>
              <a:ea typeface="Calibri"/>
              <a:cs typeface="Calibri"/>
              <a:sym typeface="Calibri"/>
            </a:rPr>
            <a:t> distributed across different Sales </a:t>
          </a:r>
          <a:r>
            <a:rPr lang="en-US" sz="1100" b="1">
              <a:solidFill>
                <a:srgbClr val="FF0000"/>
              </a:solidFill>
              <a:latin typeface="Calibri"/>
              <a:ea typeface="Calibri"/>
              <a:cs typeface="Calibri"/>
              <a:sym typeface="Calibri"/>
            </a:rPr>
            <a:t>Regions</a:t>
          </a:r>
          <a:r>
            <a:rPr lang="en-US" sz="1100" b="1">
              <a:solidFill>
                <a:schemeClr val="dk1"/>
              </a:solidFill>
              <a:latin typeface="Calibri"/>
              <a:ea typeface="Calibri"/>
              <a:cs typeface="Calibri"/>
              <a:sym typeface="Calibri"/>
            </a:rPr>
            <a:t>?</a:t>
          </a:r>
          <a:endParaRPr sz="1400" b="1"/>
        </a:p>
        <a:p>
          <a:pPr marL="0" lvl="0" indent="0" algn="l" rtl="0">
            <a:spcBef>
              <a:spcPts val="0"/>
            </a:spcBef>
            <a:spcAft>
              <a:spcPts val="0"/>
            </a:spcAft>
            <a:buNone/>
          </a:pPr>
          <a:r>
            <a:rPr lang="en-US" sz="1100">
              <a:solidFill>
                <a:schemeClr val="dk1"/>
              </a:solidFill>
              <a:latin typeface="Calibri"/>
              <a:ea typeface="Calibri"/>
              <a:cs typeface="Calibri"/>
              <a:sym typeface="Calibri"/>
            </a:rPr>
            <a:t>    3. Data Visualization (</a:t>
          </a:r>
          <a:r>
            <a:rPr lang="en-US" sz="1100" b="1">
              <a:solidFill>
                <a:schemeClr val="dk1"/>
              </a:solidFill>
              <a:latin typeface="Calibri"/>
              <a:ea typeface="Calibri"/>
              <a:cs typeface="Calibri"/>
              <a:sym typeface="Calibri"/>
            </a:rPr>
            <a:t>Pivot Charts</a:t>
          </a:r>
          <a:r>
            <a:rPr lang="en-US" sz="1100">
              <a:solidFill>
                <a:schemeClr val="dk1"/>
              </a:solidFill>
              <a:latin typeface="Calibri"/>
              <a:ea typeface="Calibri"/>
              <a:cs typeface="Calibri"/>
              <a:sym typeface="Calibri"/>
            </a:rPr>
            <a:t>): Convert your Pivot Tables into highly polished, clean charts (Line, Column, Bar, and Donut charts). Apply de-cluttering best practices (Remove gridlines, field buttons, and unnecessary legends).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4. Interactivity (</a:t>
          </a:r>
          <a:r>
            <a:rPr lang="en-US" sz="1100" b="1">
              <a:solidFill>
                <a:schemeClr val="dk1"/>
              </a:solidFill>
              <a:latin typeface="Calibri"/>
              <a:ea typeface="Calibri"/>
              <a:cs typeface="Calibri"/>
              <a:sym typeface="Calibri"/>
            </a:rPr>
            <a:t>Slicers</a:t>
          </a:r>
          <a:r>
            <a:rPr lang="en-US" sz="1100">
              <a:solidFill>
                <a:schemeClr val="dk1"/>
              </a:solidFill>
              <a:latin typeface="Calibri"/>
              <a:ea typeface="Calibri"/>
              <a:cs typeface="Calibri"/>
              <a:sym typeface="Calibri"/>
            </a:rPr>
            <a:t>): Insert Slicers for [</a:t>
          </a:r>
          <a:r>
            <a:rPr lang="en-US" sz="1100" b="1">
              <a:solidFill>
                <a:schemeClr val="dk1"/>
              </a:solidFill>
              <a:latin typeface="Calibri"/>
              <a:ea typeface="Calibri"/>
              <a:cs typeface="Calibri"/>
              <a:sym typeface="Calibri"/>
            </a:rPr>
            <a:t>Region</a:t>
          </a:r>
          <a:r>
            <a:rPr lang="en-US" sz="1100">
              <a:solidFill>
                <a:schemeClr val="dk1"/>
              </a:solidFill>
              <a:latin typeface="Calibri"/>
              <a:ea typeface="Calibri"/>
              <a:cs typeface="Calibri"/>
              <a:sym typeface="Calibri"/>
            </a:rPr>
            <a:t>] and [</a:t>
          </a:r>
          <a:r>
            <a:rPr lang="en-US" sz="1100" b="1">
              <a:solidFill>
                <a:schemeClr val="dk1"/>
              </a:solidFill>
              <a:latin typeface="Calibri"/>
              <a:ea typeface="Calibri"/>
              <a:cs typeface="Calibri"/>
              <a:sym typeface="Calibri"/>
            </a:rPr>
            <a:t>Order Status</a:t>
          </a:r>
          <a:r>
            <a:rPr lang="en-US" sz="1100">
              <a:solidFill>
                <a:schemeClr val="dk1"/>
              </a:solidFill>
              <a:latin typeface="Calibri"/>
              <a:ea typeface="Calibri"/>
              <a:cs typeface="Calibri"/>
              <a:sym typeface="Calibri"/>
            </a:rPr>
            <a:t>]. Use "</a:t>
          </a:r>
          <a:r>
            <a:rPr lang="en-US" sz="1100" b="1">
              <a:solidFill>
                <a:schemeClr val="dk1"/>
              </a:solidFill>
              <a:latin typeface="Calibri"/>
              <a:ea typeface="Calibri"/>
              <a:cs typeface="Calibri"/>
              <a:sym typeface="Calibri"/>
            </a:rPr>
            <a:t>Report Connections</a:t>
          </a:r>
          <a:r>
            <a:rPr lang="en-US" sz="1100">
              <a:solidFill>
                <a:schemeClr val="dk1"/>
              </a:solidFill>
              <a:latin typeface="Calibri"/>
              <a:ea typeface="Calibri"/>
              <a:cs typeface="Calibri"/>
              <a:sym typeface="Calibri"/>
            </a:rPr>
            <a:t>" to link these slicers to </a:t>
          </a:r>
          <a:r>
            <a:rPr lang="en-US" sz="1100" b="1">
              <a:solidFill>
                <a:schemeClr val="dk1"/>
              </a:solidFill>
              <a:latin typeface="Calibri"/>
              <a:ea typeface="Calibri"/>
              <a:cs typeface="Calibri"/>
              <a:sym typeface="Calibri"/>
            </a:rPr>
            <a:t>ALL</a:t>
          </a:r>
          <a:r>
            <a:rPr lang="en-US" sz="1100">
              <a:solidFill>
                <a:schemeClr val="dk1"/>
              </a:solidFill>
              <a:latin typeface="Calibri"/>
              <a:ea typeface="Calibri"/>
              <a:cs typeface="Calibri"/>
              <a:sym typeface="Calibri"/>
            </a:rPr>
            <a:t> charts simultaneously.</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5. UI/UX Design: Build a beautiful frontend sheet named "Executive </a:t>
          </a:r>
          <a:r>
            <a:rPr lang="en-US" sz="1100" b="1">
              <a:solidFill>
                <a:schemeClr val="dk1"/>
              </a:solidFill>
              <a:latin typeface="Calibri"/>
              <a:ea typeface="Calibri"/>
              <a:cs typeface="Calibri"/>
              <a:sym typeface="Calibri"/>
            </a:rPr>
            <a:t>Dashboard</a:t>
          </a:r>
          <a:r>
            <a:rPr lang="en-US" sz="1100">
              <a:solidFill>
                <a:schemeClr val="dk1"/>
              </a:solidFill>
              <a:latin typeface="Calibri"/>
              <a:ea typeface="Calibri"/>
              <a:cs typeface="Calibri"/>
              <a:sym typeface="Calibri"/>
            </a:rPr>
            <a:t>". Hide gridlines, align charts perfectly, add an elegant title banner, and test the dynamic filtering.</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Submission:</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 Deliver a completed, fully interactive dashboard file (.xlsx). Your charts must update dynamically when clicking the Slicers!</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xdr:from>
      <xdr:col>4</xdr:col>
      <xdr:colOff>723900</xdr:colOff>
      <xdr:row>27</xdr:row>
      <xdr:rowOff>49530</xdr:rowOff>
    </xdr:from>
    <xdr:to>
      <xdr:col>15</xdr:col>
      <xdr:colOff>906780</xdr:colOff>
      <xdr:row>43</xdr:row>
      <xdr:rowOff>167640</xdr:rowOff>
    </xdr:to>
    <xdr:graphicFrame macro="">
      <xdr:nvGraphicFramePr>
        <xdr:cNvPr id="3" name="Chart 2">
          <a:extLst>
            <a:ext uri="{FF2B5EF4-FFF2-40B4-BE49-F238E27FC236}">
              <a16:creationId xmlns:a16="http://schemas.microsoft.com/office/drawing/2014/main" id="{0C381B03-C637-49B0-B3C6-4FBE59886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723900</xdr:colOff>
      <xdr:row>77</xdr:row>
      <xdr:rowOff>41910</xdr:rowOff>
    </xdr:from>
    <xdr:to>
      <xdr:col>15</xdr:col>
      <xdr:colOff>975360</xdr:colOff>
      <xdr:row>92</xdr:row>
      <xdr:rowOff>41910</xdr:rowOff>
    </xdr:to>
    <xdr:graphicFrame macro="">
      <xdr:nvGraphicFramePr>
        <xdr:cNvPr id="4" name="Chart 3">
          <a:extLst>
            <a:ext uri="{FF2B5EF4-FFF2-40B4-BE49-F238E27FC236}">
              <a16:creationId xmlns:a16="http://schemas.microsoft.com/office/drawing/2014/main" id="{98A308C8-D397-4A51-80AD-57CF2E73F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130</xdr:row>
      <xdr:rowOff>137160</xdr:rowOff>
    </xdr:from>
    <xdr:to>
      <xdr:col>11</xdr:col>
      <xdr:colOff>388620</xdr:colOff>
      <xdr:row>145</xdr:row>
      <xdr:rowOff>49530</xdr:rowOff>
    </xdr:to>
    <xdr:graphicFrame macro="">
      <xdr:nvGraphicFramePr>
        <xdr:cNvPr id="5" name="Chart 4">
          <a:extLst>
            <a:ext uri="{FF2B5EF4-FFF2-40B4-BE49-F238E27FC236}">
              <a16:creationId xmlns:a16="http://schemas.microsoft.com/office/drawing/2014/main" id="{D165C9B6-C245-4B96-8C8A-647BB8366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0</xdr:row>
      <xdr:rowOff>0</xdr:rowOff>
    </xdr:from>
    <xdr:to>
      <xdr:col>11</xdr:col>
      <xdr:colOff>0</xdr:colOff>
      <xdr:row>15</xdr:row>
      <xdr:rowOff>0</xdr:rowOff>
    </xdr:to>
    <xdr:graphicFrame macro="">
      <xdr:nvGraphicFramePr>
        <xdr:cNvPr id="6" name="Chart 5">
          <a:extLst>
            <a:ext uri="{FF2B5EF4-FFF2-40B4-BE49-F238E27FC236}">
              <a16:creationId xmlns:a16="http://schemas.microsoft.com/office/drawing/2014/main" id="{4A92DACF-EE1C-4F76-9247-D03AB9E6F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632460</xdr:colOff>
      <xdr:row>0</xdr:row>
      <xdr:rowOff>160020</xdr:rowOff>
    </xdr:from>
    <xdr:to>
      <xdr:col>14</xdr:col>
      <xdr:colOff>541020</xdr:colOff>
      <xdr:row>14</xdr:row>
      <xdr:rowOff>66675</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37F3EDA3-C2AD-4A84-9BF8-3720859E53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91700" y="160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693420</xdr:colOff>
      <xdr:row>1</xdr:row>
      <xdr:rowOff>7620</xdr:rowOff>
    </xdr:from>
    <xdr:to>
      <xdr:col>16</xdr:col>
      <xdr:colOff>281940</xdr:colOff>
      <xdr:row>14</xdr:row>
      <xdr:rowOff>97155</xdr:rowOff>
    </xdr:to>
    <mc:AlternateContent xmlns:mc="http://schemas.openxmlformats.org/markup-compatibility/2006" xmlns:a14="http://schemas.microsoft.com/office/drawing/2010/main">
      <mc:Choice Requires="a14">
        <xdr:graphicFrame macro="">
          <xdr:nvGraphicFramePr>
            <xdr:cNvPr id="23" name="Order Status">
              <a:extLst>
                <a:ext uri="{FF2B5EF4-FFF2-40B4-BE49-F238E27FC236}">
                  <a16:creationId xmlns:a16="http://schemas.microsoft.com/office/drawing/2014/main" id="{FE3C09FF-E2F9-444D-8680-54DC0438D65B}"/>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1772900" y="190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2</xdr:row>
      <xdr:rowOff>53340</xdr:rowOff>
    </xdr:from>
    <xdr:to>
      <xdr:col>24</xdr:col>
      <xdr:colOff>571500</xdr:colOff>
      <xdr:row>31</xdr:row>
      <xdr:rowOff>160020</xdr:rowOff>
    </xdr:to>
    <xdr:sp macro="" textlink="">
      <xdr:nvSpPr>
        <xdr:cNvPr id="55" name="Rectangle: Rounded Corners 54">
          <a:extLst>
            <a:ext uri="{FF2B5EF4-FFF2-40B4-BE49-F238E27FC236}">
              <a16:creationId xmlns:a16="http://schemas.microsoft.com/office/drawing/2014/main" id="{CFD99BB3-606B-4888-AB00-CEA88D70CD2B}"/>
            </a:ext>
          </a:extLst>
        </xdr:cNvPr>
        <xdr:cNvSpPr/>
      </xdr:nvSpPr>
      <xdr:spPr>
        <a:xfrm>
          <a:off x="1409700" y="419100"/>
          <a:ext cx="13792200" cy="541020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38100</xdr:colOff>
      <xdr:row>2</xdr:row>
      <xdr:rowOff>114300</xdr:rowOff>
    </xdr:from>
    <xdr:to>
      <xdr:col>17</xdr:col>
      <xdr:colOff>91440</xdr:colOff>
      <xdr:row>4</xdr:row>
      <xdr:rowOff>121920</xdr:rowOff>
    </xdr:to>
    <xdr:sp macro="" textlink="">
      <xdr:nvSpPr>
        <xdr:cNvPr id="56" name="TextBox 55">
          <a:extLst>
            <a:ext uri="{FF2B5EF4-FFF2-40B4-BE49-F238E27FC236}">
              <a16:creationId xmlns:a16="http://schemas.microsoft.com/office/drawing/2014/main" id="{795FC5BA-A558-4EB7-A2D6-2093311CB065}"/>
            </a:ext>
          </a:extLst>
        </xdr:cNvPr>
        <xdr:cNvSpPr txBox="1"/>
      </xdr:nvSpPr>
      <xdr:spPr>
        <a:xfrm>
          <a:off x="6134100" y="480060"/>
          <a:ext cx="432054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4">
                  <a:lumMod val="75000"/>
                </a:schemeClr>
              </a:solidFill>
            </a:rPr>
            <a:t>Sales Performance Executive Dashboard</a:t>
          </a:r>
        </a:p>
      </xdr:txBody>
    </xdr:sp>
    <xdr:clientData/>
  </xdr:twoCellAnchor>
  <xdr:twoCellAnchor>
    <xdr:from>
      <xdr:col>5</xdr:col>
      <xdr:colOff>419100</xdr:colOff>
      <xdr:row>16</xdr:row>
      <xdr:rowOff>137160</xdr:rowOff>
    </xdr:from>
    <xdr:to>
      <xdr:col>16</xdr:col>
      <xdr:colOff>502920</xdr:colOff>
      <xdr:row>30</xdr:row>
      <xdr:rowOff>131289</xdr:rowOff>
    </xdr:to>
    <xdr:grpSp>
      <xdr:nvGrpSpPr>
        <xdr:cNvPr id="58" name="Group 57">
          <a:extLst>
            <a:ext uri="{FF2B5EF4-FFF2-40B4-BE49-F238E27FC236}">
              <a16:creationId xmlns:a16="http://schemas.microsoft.com/office/drawing/2014/main" id="{58C36609-AEED-4E5C-8A81-3DB09EB90B49}"/>
            </a:ext>
          </a:extLst>
        </xdr:cNvPr>
        <xdr:cNvGrpSpPr/>
      </xdr:nvGrpSpPr>
      <xdr:grpSpPr>
        <a:xfrm>
          <a:off x="3467100" y="3063240"/>
          <a:ext cx="6789420" cy="2554449"/>
          <a:chOff x="1915258" y="2369821"/>
          <a:chExt cx="6984902" cy="2766060"/>
        </a:xfrm>
      </xdr:grpSpPr>
      <xdr:sp macro="" textlink="">
        <xdr:nvSpPr>
          <xdr:cNvPr id="59" name="Rectangle: Rounded Corners 58">
            <a:extLst>
              <a:ext uri="{FF2B5EF4-FFF2-40B4-BE49-F238E27FC236}">
                <a16:creationId xmlns:a16="http://schemas.microsoft.com/office/drawing/2014/main" id="{847E4385-21D4-4FD5-B19B-205F28475813}"/>
              </a:ext>
            </a:extLst>
          </xdr:cNvPr>
          <xdr:cNvSpPr/>
        </xdr:nvSpPr>
        <xdr:spPr>
          <a:xfrm>
            <a:off x="1973580" y="2369821"/>
            <a:ext cx="6926580" cy="276606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60" name="Chart 59">
            <a:extLst>
              <a:ext uri="{FF2B5EF4-FFF2-40B4-BE49-F238E27FC236}">
                <a16:creationId xmlns:a16="http://schemas.microsoft.com/office/drawing/2014/main" id="{A1BDD6FC-C93F-487F-B9EA-F4F04CC5937E}"/>
              </a:ext>
            </a:extLst>
          </xdr:cNvPr>
          <xdr:cNvGraphicFramePr>
            <a:graphicFrameLocks/>
          </xdr:cNvGraphicFramePr>
        </xdr:nvGraphicFramePr>
        <xdr:xfrm>
          <a:off x="1915258" y="2388216"/>
          <a:ext cx="6675119" cy="27432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16</xdr:col>
      <xdr:colOff>556260</xdr:colOff>
      <xdr:row>17</xdr:row>
      <xdr:rowOff>45720</xdr:rowOff>
    </xdr:from>
    <xdr:to>
      <xdr:col>24</xdr:col>
      <xdr:colOff>403860</xdr:colOff>
      <xdr:row>30</xdr:row>
      <xdr:rowOff>3810</xdr:rowOff>
    </xdr:to>
    <xdr:grpSp>
      <xdr:nvGrpSpPr>
        <xdr:cNvPr id="61" name="Group 60">
          <a:extLst>
            <a:ext uri="{FF2B5EF4-FFF2-40B4-BE49-F238E27FC236}">
              <a16:creationId xmlns:a16="http://schemas.microsoft.com/office/drawing/2014/main" id="{93530720-2C37-4DCD-AD79-5735AC8D9F5A}"/>
            </a:ext>
          </a:extLst>
        </xdr:cNvPr>
        <xdr:cNvGrpSpPr/>
      </xdr:nvGrpSpPr>
      <xdr:grpSpPr>
        <a:xfrm>
          <a:off x="10309860" y="3154680"/>
          <a:ext cx="4724400" cy="2335530"/>
          <a:chOff x="7818120" y="7132320"/>
          <a:chExt cx="7467600" cy="3044190"/>
        </a:xfrm>
      </xdr:grpSpPr>
      <xdr:sp macro="" textlink="">
        <xdr:nvSpPr>
          <xdr:cNvPr id="62" name="Rectangle: Rounded Corners 61">
            <a:extLst>
              <a:ext uri="{FF2B5EF4-FFF2-40B4-BE49-F238E27FC236}">
                <a16:creationId xmlns:a16="http://schemas.microsoft.com/office/drawing/2014/main" id="{B2666056-3AEF-4CF3-9DD1-FBE72325B94F}"/>
              </a:ext>
            </a:extLst>
          </xdr:cNvPr>
          <xdr:cNvSpPr/>
        </xdr:nvSpPr>
        <xdr:spPr>
          <a:xfrm>
            <a:off x="7818120" y="7162800"/>
            <a:ext cx="7467600" cy="30022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63" name="Chart 62">
            <a:extLst>
              <a:ext uri="{FF2B5EF4-FFF2-40B4-BE49-F238E27FC236}">
                <a16:creationId xmlns:a16="http://schemas.microsoft.com/office/drawing/2014/main" id="{6AD667A7-5E6A-4F01-A473-567F3E9410AB}"/>
              </a:ext>
            </a:extLst>
          </xdr:cNvPr>
          <xdr:cNvGraphicFramePr>
            <a:graphicFrameLocks/>
          </xdr:cNvGraphicFramePr>
        </xdr:nvGraphicFramePr>
        <xdr:xfrm>
          <a:off x="7924800" y="7132320"/>
          <a:ext cx="7223760" cy="304419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76200</xdr:colOff>
      <xdr:row>4</xdr:row>
      <xdr:rowOff>114300</xdr:rowOff>
    </xdr:from>
    <xdr:to>
      <xdr:col>16</xdr:col>
      <xdr:colOff>213360</xdr:colOff>
      <xdr:row>16</xdr:row>
      <xdr:rowOff>34290</xdr:rowOff>
    </xdr:to>
    <xdr:grpSp>
      <xdr:nvGrpSpPr>
        <xdr:cNvPr id="64" name="Group 63">
          <a:extLst>
            <a:ext uri="{FF2B5EF4-FFF2-40B4-BE49-F238E27FC236}">
              <a16:creationId xmlns:a16="http://schemas.microsoft.com/office/drawing/2014/main" id="{FE0E97B7-7469-4F7E-B97B-A3D287F4D294}"/>
            </a:ext>
          </a:extLst>
        </xdr:cNvPr>
        <xdr:cNvGrpSpPr/>
      </xdr:nvGrpSpPr>
      <xdr:grpSpPr>
        <a:xfrm>
          <a:off x="3733800" y="845820"/>
          <a:ext cx="6233160" cy="2114550"/>
          <a:chOff x="10195560" y="7863840"/>
          <a:chExt cx="3345180" cy="2343150"/>
        </a:xfrm>
      </xdr:grpSpPr>
      <xdr:sp macro="" textlink="">
        <xdr:nvSpPr>
          <xdr:cNvPr id="65" name="Rectangle: Rounded Corners 64">
            <a:extLst>
              <a:ext uri="{FF2B5EF4-FFF2-40B4-BE49-F238E27FC236}">
                <a16:creationId xmlns:a16="http://schemas.microsoft.com/office/drawing/2014/main" id="{00D79D11-F96B-4B21-866B-DE414399B3B6}"/>
              </a:ext>
            </a:extLst>
          </xdr:cNvPr>
          <xdr:cNvSpPr/>
        </xdr:nvSpPr>
        <xdr:spPr>
          <a:xfrm>
            <a:off x="10195560" y="8039100"/>
            <a:ext cx="3345180" cy="20497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66" name="Chart 65">
            <a:extLst>
              <a:ext uri="{FF2B5EF4-FFF2-40B4-BE49-F238E27FC236}">
                <a16:creationId xmlns:a16="http://schemas.microsoft.com/office/drawing/2014/main" id="{F6F19511-DA2C-402B-8456-A8C5753F0C5B}"/>
              </a:ext>
            </a:extLst>
          </xdr:cNvPr>
          <xdr:cNvGraphicFramePr>
            <a:graphicFrameLocks/>
          </xdr:cNvGraphicFramePr>
        </xdr:nvGraphicFramePr>
        <xdr:xfrm>
          <a:off x="10363200" y="7863840"/>
          <a:ext cx="3101340" cy="23431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17</xdr:col>
      <xdr:colOff>7620</xdr:colOff>
      <xdr:row>4</xdr:row>
      <xdr:rowOff>129540</xdr:rowOff>
    </xdr:from>
    <xdr:to>
      <xdr:col>24</xdr:col>
      <xdr:colOff>335280</xdr:colOff>
      <xdr:row>16</xdr:row>
      <xdr:rowOff>7620</xdr:rowOff>
    </xdr:to>
    <xdr:grpSp>
      <xdr:nvGrpSpPr>
        <xdr:cNvPr id="67" name="Group 66">
          <a:extLst>
            <a:ext uri="{FF2B5EF4-FFF2-40B4-BE49-F238E27FC236}">
              <a16:creationId xmlns:a16="http://schemas.microsoft.com/office/drawing/2014/main" id="{3A09197C-3A49-433B-92DF-8A96B7A741AE}"/>
            </a:ext>
          </a:extLst>
        </xdr:cNvPr>
        <xdr:cNvGrpSpPr/>
      </xdr:nvGrpSpPr>
      <xdr:grpSpPr>
        <a:xfrm>
          <a:off x="10370820" y="861060"/>
          <a:ext cx="4594860" cy="2072640"/>
          <a:chOff x="9060180" y="7315200"/>
          <a:chExt cx="4213860" cy="2301240"/>
        </a:xfrm>
      </xdr:grpSpPr>
      <xdr:sp macro="" textlink="">
        <xdr:nvSpPr>
          <xdr:cNvPr id="68" name="Rectangle: Rounded Corners 67">
            <a:extLst>
              <a:ext uri="{FF2B5EF4-FFF2-40B4-BE49-F238E27FC236}">
                <a16:creationId xmlns:a16="http://schemas.microsoft.com/office/drawing/2014/main" id="{6F91BA03-CC54-433A-A83B-1FB4B5E0F0B4}"/>
              </a:ext>
            </a:extLst>
          </xdr:cNvPr>
          <xdr:cNvSpPr/>
        </xdr:nvSpPr>
        <xdr:spPr>
          <a:xfrm>
            <a:off x="9060180" y="7315200"/>
            <a:ext cx="4213860" cy="23012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aphicFrame macro="">
        <xdr:nvGraphicFramePr>
          <xdr:cNvPr id="69" name="Chart 68">
            <a:extLst>
              <a:ext uri="{FF2B5EF4-FFF2-40B4-BE49-F238E27FC236}">
                <a16:creationId xmlns:a16="http://schemas.microsoft.com/office/drawing/2014/main" id="{69411117-D88B-409F-8629-BEEDF195B1B2}"/>
              </a:ext>
            </a:extLst>
          </xdr:cNvPr>
          <xdr:cNvGraphicFramePr>
            <a:graphicFrameLocks/>
          </xdr:cNvGraphicFramePr>
        </xdr:nvGraphicFramePr>
        <xdr:xfrm>
          <a:off x="9144000" y="7315200"/>
          <a:ext cx="4046220" cy="22631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xdr:col>
      <xdr:colOff>464820</xdr:colOff>
      <xdr:row>5</xdr:row>
      <xdr:rowOff>45720</xdr:rowOff>
    </xdr:from>
    <xdr:to>
      <xdr:col>5</xdr:col>
      <xdr:colOff>304800</xdr:colOff>
      <xdr:row>30</xdr:row>
      <xdr:rowOff>83820</xdr:rowOff>
    </xdr:to>
    <xdr:sp macro="" textlink="">
      <xdr:nvSpPr>
        <xdr:cNvPr id="76" name="Rectangle: Rounded Corners 75">
          <a:extLst>
            <a:ext uri="{FF2B5EF4-FFF2-40B4-BE49-F238E27FC236}">
              <a16:creationId xmlns:a16="http://schemas.microsoft.com/office/drawing/2014/main" id="{257BBEB0-0EB9-4F87-9321-B5CDA7E06FA3}"/>
            </a:ext>
          </a:extLst>
        </xdr:cNvPr>
        <xdr:cNvSpPr/>
      </xdr:nvSpPr>
      <xdr:spPr>
        <a:xfrm>
          <a:off x="1684020" y="960120"/>
          <a:ext cx="1668780" cy="46101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53340</xdr:colOff>
      <xdr:row>9</xdr:row>
      <xdr:rowOff>38100</xdr:rowOff>
    </xdr:from>
    <xdr:to>
      <xdr:col>5</xdr:col>
      <xdr:colOff>66294</xdr:colOff>
      <xdr:row>17</xdr:row>
      <xdr:rowOff>7620</xdr:rowOff>
    </xdr:to>
    <mc:AlternateContent xmlns:mc="http://schemas.openxmlformats.org/markup-compatibility/2006" xmlns:a14="http://schemas.microsoft.com/office/drawing/2010/main">
      <mc:Choice Requires="a14">
        <xdr:graphicFrame macro="">
          <xdr:nvGraphicFramePr>
            <xdr:cNvPr id="74" name="Order Status 1">
              <a:extLst>
                <a:ext uri="{FF2B5EF4-FFF2-40B4-BE49-F238E27FC236}">
                  <a16:creationId xmlns:a16="http://schemas.microsoft.com/office/drawing/2014/main" id="{DDE206DA-6CCE-4C59-BF31-89C6EF4E5AE7}"/>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882140" y="1684020"/>
              <a:ext cx="1232154"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60960</xdr:colOff>
      <xdr:row>16</xdr:row>
      <xdr:rowOff>0</xdr:rowOff>
    </xdr:from>
    <xdr:to>
      <xdr:col>5</xdr:col>
      <xdr:colOff>76200</xdr:colOff>
      <xdr:row>26</xdr:row>
      <xdr:rowOff>121920</xdr:rowOff>
    </xdr:to>
    <mc:AlternateContent xmlns:mc="http://schemas.openxmlformats.org/markup-compatibility/2006" xmlns:a14="http://schemas.microsoft.com/office/drawing/2010/main">
      <mc:Choice Requires="a14">
        <xdr:graphicFrame macro="">
          <xdr:nvGraphicFramePr>
            <xdr:cNvPr id="75" name="Region 1">
              <a:extLst>
                <a:ext uri="{FF2B5EF4-FFF2-40B4-BE49-F238E27FC236}">
                  <a16:creationId xmlns:a16="http://schemas.microsoft.com/office/drawing/2014/main" id="{9A059E76-D3D5-4685-9119-FE715E3017F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89760" y="2926080"/>
              <a:ext cx="1234440" cy="1950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ba" refreshedDate="46315.656264351848" createdVersion="7" refreshedVersion="7" minRefreshableVersion="3" recordCount="800" xr:uid="{6E8E520C-2767-421F-BCBB-1F307A89A74F}">
  <cacheSource type="worksheet">
    <worksheetSource ref="A1:K801" sheet="Sales"/>
  </cacheSource>
  <cacheFields count="11">
    <cacheField name="Order ID" numFmtId="0">
      <sharedItems/>
    </cacheField>
    <cacheField name="Month" numFmtId="0">
      <sharedItems count="6">
        <s v="April"/>
        <s v="February"/>
        <s v="May"/>
        <s v="January"/>
        <s v="March"/>
        <s v="June"/>
      </sharedItems>
    </cacheField>
    <cacheField name="Product ID" numFmtId="0">
      <sharedItems/>
    </cacheField>
    <cacheField name="Salesman" numFmtId="0">
      <sharedItems count="5">
        <s v="Youssef Zayed"/>
        <s v="Ahmed Ali"/>
        <s v="Arwa Mahmoud"/>
        <s v="Sara Amr"/>
        <s v="Omar Hassan"/>
      </sharedItems>
    </cacheField>
    <cacheField name="Region" numFmtId="0">
      <sharedItems count="4">
        <s v="South"/>
        <s v="West"/>
        <s v="North"/>
        <s v="East"/>
      </sharedItems>
    </cacheField>
    <cacheField name="Quantity" numFmtId="0">
      <sharedItems containsSemiMixedTypes="0" containsString="0" containsNumber="1" containsInteger="1" minValue="1" maxValue="5"/>
    </cacheField>
    <cacheField name="Order Status" numFmtId="0">
      <sharedItems count="3">
        <s v="Delivered"/>
        <s v="Cancelled"/>
        <s v="Shipped"/>
      </sharedItems>
    </cacheField>
    <cacheField name="Product Name" numFmtId="0">
      <sharedItems/>
    </cacheField>
    <cacheField name="Category" numFmtId="0">
      <sharedItems count="3">
        <s v="Electronics"/>
        <s v="Accessories"/>
        <s v="Furniture"/>
      </sharedItems>
    </cacheField>
    <cacheField name="Unit Price" numFmtId="0">
      <sharedItems containsSemiMixedTypes="0" containsString="0" containsNumber="1" minValue="49.99" maxValue="999.99"/>
    </cacheField>
    <cacheField name="Total Revenue " numFmtId="0">
      <sharedItems containsSemiMixedTypes="0" containsString="0" containsNumber="1" minValue="0" maxValue="4999.95"/>
    </cacheField>
  </cacheFields>
  <extLst>
    <ext xmlns:x14="http://schemas.microsoft.com/office/spreadsheetml/2009/9/main" uri="{725AE2AE-9491-48be-B2B4-4EB974FC3084}">
      <x14:pivotCacheDefinition pivotCacheId="1865909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ORD-7000"/>
    <x v="0"/>
    <s v="PROD-201"/>
    <x v="0"/>
    <x v="0"/>
    <n v="4"/>
    <x v="0"/>
    <s v="Tablet Air"/>
    <x v="0"/>
    <n v="499.99"/>
    <n v="1999.96"/>
  </r>
  <r>
    <s v="ORD-7001"/>
    <x v="0"/>
    <s v="PROD-205"/>
    <x v="0"/>
    <x v="1"/>
    <n v="3"/>
    <x v="1"/>
    <s v="4K Monitor"/>
    <x v="0"/>
    <n v="349.99"/>
    <n v="0"/>
  </r>
  <r>
    <s v="ORD-7002"/>
    <x v="1"/>
    <s v="PROD-200"/>
    <x v="1"/>
    <x v="0"/>
    <n v="5"/>
    <x v="0"/>
    <s v="Smartphone X"/>
    <x v="0"/>
    <n v="999.99"/>
    <n v="4999.95"/>
  </r>
  <r>
    <s v="ORD-7003"/>
    <x v="2"/>
    <s v="PROD-203"/>
    <x v="2"/>
    <x v="1"/>
    <n v="5"/>
    <x v="0"/>
    <s v="Mechanical Keyboard"/>
    <x v="1"/>
    <n v="89.99"/>
    <n v="449.95"/>
  </r>
  <r>
    <s v="ORD-7004"/>
    <x v="1"/>
    <s v="PROD-204"/>
    <x v="3"/>
    <x v="1"/>
    <n v="4"/>
    <x v="1"/>
    <s v="Gaming Mouse"/>
    <x v="1"/>
    <n v="49.99"/>
    <n v="0"/>
  </r>
  <r>
    <s v="ORD-7005"/>
    <x v="1"/>
    <s v="PROD-206"/>
    <x v="3"/>
    <x v="2"/>
    <n v="5"/>
    <x v="0"/>
    <s v="Bluetooth Speaker"/>
    <x v="1"/>
    <n v="79.989999999999995"/>
    <n v="399.95"/>
  </r>
  <r>
    <s v="ORD-7006"/>
    <x v="1"/>
    <s v="PROD-205"/>
    <x v="0"/>
    <x v="0"/>
    <n v="4"/>
    <x v="0"/>
    <s v="4K Monitor"/>
    <x v="0"/>
    <n v="349.99"/>
    <n v="1399.96"/>
  </r>
  <r>
    <s v="ORD-7007"/>
    <x v="1"/>
    <s v="PROD-200"/>
    <x v="0"/>
    <x v="3"/>
    <n v="2"/>
    <x v="0"/>
    <s v="Smartphone X"/>
    <x v="0"/>
    <n v="999.99"/>
    <n v="1999.98"/>
  </r>
  <r>
    <s v="ORD-7008"/>
    <x v="3"/>
    <s v="PROD-207"/>
    <x v="1"/>
    <x v="0"/>
    <n v="4"/>
    <x v="0"/>
    <s v="Ergonomic Chair"/>
    <x v="2"/>
    <n v="249.99"/>
    <n v="999.96"/>
  </r>
  <r>
    <s v="ORD-7009"/>
    <x v="4"/>
    <s v="PROD-204"/>
    <x v="0"/>
    <x v="3"/>
    <n v="1"/>
    <x v="1"/>
    <s v="Gaming Mouse"/>
    <x v="1"/>
    <n v="49.99"/>
    <n v="0"/>
  </r>
  <r>
    <s v="ORD-7010"/>
    <x v="5"/>
    <s v="PROD-207"/>
    <x v="3"/>
    <x v="1"/>
    <n v="4"/>
    <x v="1"/>
    <s v="Ergonomic Chair"/>
    <x v="2"/>
    <n v="249.99"/>
    <n v="0"/>
  </r>
  <r>
    <s v="ORD-7011"/>
    <x v="0"/>
    <s v="PROD-205"/>
    <x v="4"/>
    <x v="1"/>
    <n v="3"/>
    <x v="2"/>
    <s v="4K Monitor"/>
    <x v="0"/>
    <n v="349.99"/>
    <n v="1049.97"/>
  </r>
  <r>
    <s v="ORD-7012"/>
    <x v="2"/>
    <s v="PROD-203"/>
    <x v="2"/>
    <x v="0"/>
    <n v="1"/>
    <x v="1"/>
    <s v="Mechanical Keyboard"/>
    <x v="1"/>
    <n v="89.99"/>
    <n v="0"/>
  </r>
  <r>
    <s v="ORD-7013"/>
    <x v="5"/>
    <s v="PROD-205"/>
    <x v="0"/>
    <x v="2"/>
    <n v="2"/>
    <x v="0"/>
    <s v="4K Monitor"/>
    <x v="0"/>
    <n v="349.99"/>
    <n v="699.98"/>
  </r>
  <r>
    <s v="ORD-7014"/>
    <x v="5"/>
    <s v="PROD-202"/>
    <x v="2"/>
    <x v="2"/>
    <n v="1"/>
    <x v="0"/>
    <s v="Wireless Headphones"/>
    <x v="1"/>
    <n v="149.99"/>
    <n v="149.99"/>
  </r>
  <r>
    <s v="ORD-7015"/>
    <x v="2"/>
    <s v="PROD-200"/>
    <x v="3"/>
    <x v="1"/>
    <n v="3"/>
    <x v="0"/>
    <s v="Smartphone X"/>
    <x v="0"/>
    <n v="999.99"/>
    <n v="2999.9700000000003"/>
  </r>
  <r>
    <s v="ORD-7016"/>
    <x v="3"/>
    <s v="PROD-205"/>
    <x v="4"/>
    <x v="0"/>
    <n v="3"/>
    <x v="2"/>
    <s v="4K Monitor"/>
    <x v="0"/>
    <n v="349.99"/>
    <n v="1049.97"/>
  </r>
  <r>
    <s v="ORD-7017"/>
    <x v="2"/>
    <s v="PROD-203"/>
    <x v="2"/>
    <x v="3"/>
    <n v="2"/>
    <x v="2"/>
    <s v="Mechanical Keyboard"/>
    <x v="1"/>
    <n v="89.99"/>
    <n v="179.98"/>
  </r>
  <r>
    <s v="ORD-7018"/>
    <x v="0"/>
    <s v="PROD-203"/>
    <x v="3"/>
    <x v="0"/>
    <n v="2"/>
    <x v="0"/>
    <s v="Mechanical Keyboard"/>
    <x v="1"/>
    <n v="89.99"/>
    <n v="179.98"/>
  </r>
  <r>
    <s v="ORD-7019"/>
    <x v="1"/>
    <s v="PROD-206"/>
    <x v="2"/>
    <x v="1"/>
    <n v="4"/>
    <x v="1"/>
    <s v="Bluetooth Speaker"/>
    <x v="1"/>
    <n v="79.989999999999995"/>
    <n v="0"/>
  </r>
  <r>
    <s v="ORD-7020"/>
    <x v="0"/>
    <s v="PROD-207"/>
    <x v="4"/>
    <x v="3"/>
    <n v="2"/>
    <x v="1"/>
    <s v="Ergonomic Chair"/>
    <x v="2"/>
    <n v="249.99"/>
    <n v="0"/>
  </r>
  <r>
    <s v="ORD-7021"/>
    <x v="5"/>
    <s v="PROD-202"/>
    <x v="2"/>
    <x v="1"/>
    <n v="5"/>
    <x v="0"/>
    <s v="Wireless Headphones"/>
    <x v="1"/>
    <n v="149.99"/>
    <n v="749.95"/>
  </r>
  <r>
    <s v="ORD-7022"/>
    <x v="2"/>
    <s v="PROD-205"/>
    <x v="2"/>
    <x v="3"/>
    <n v="5"/>
    <x v="1"/>
    <s v="4K Monitor"/>
    <x v="0"/>
    <n v="349.99"/>
    <n v="0"/>
  </r>
  <r>
    <s v="ORD-7023"/>
    <x v="2"/>
    <s v="PROD-202"/>
    <x v="4"/>
    <x v="3"/>
    <n v="5"/>
    <x v="0"/>
    <s v="Wireless Headphones"/>
    <x v="1"/>
    <n v="149.99"/>
    <n v="749.95"/>
  </r>
  <r>
    <s v="ORD-7024"/>
    <x v="1"/>
    <s v="PROD-204"/>
    <x v="4"/>
    <x v="3"/>
    <n v="1"/>
    <x v="0"/>
    <s v="Gaming Mouse"/>
    <x v="1"/>
    <n v="49.99"/>
    <n v="49.99"/>
  </r>
  <r>
    <s v="ORD-7025"/>
    <x v="4"/>
    <s v="PROD-200"/>
    <x v="2"/>
    <x v="3"/>
    <n v="4"/>
    <x v="2"/>
    <s v="Smartphone X"/>
    <x v="0"/>
    <n v="999.99"/>
    <n v="3999.96"/>
  </r>
  <r>
    <s v="ORD-7026"/>
    <x v="0"/>
    <s v="PROD-200"/>
    <x v="0"/>
    <x v="0"/>
    <n v="3"/>
    <x v="2"/>
    <s v="Smartphone X"/>
    <x v="0"/>
    <n v="999.99"/>
    <n v="2999.9700000000003"/>
  </r>
  <r>
    <s v="ORD-7027"/>
    <x v="5"/>
    <s v="PROD-205"/>
    <x v="0"/>
    <x v="1"/>
    <n v="1"/>
    <x v="1"/>
    <s v="4K Monitor"/>
    <x v="0"/>
    <n v="349.99"/>
    <n v="0"/>
  </r>
  <r>
    <s v="ORD-7028"/>
    <x v="1"/>
    <s v="PROD-202"/>
    <x v="0"/>
    <x v="0"/>
    <n v="5"/>
    <x v="0"/>
    <s v="Wireless Headphones"/>
    <x v="1"/>
    <n v="149.99"/>
    <n v="749.95"/>
  </r>
  <r>
    <s v="ORD-7029"/>
    <x v="1"/>
    <s v="PROD-202"/>
    <x v="3"/>
    <x v="0"/>
    <n v="2"/>
    <x v="0"/>
    <s v="Wireless Headphones"/>
    <x v="1"/>
    <n v="149.99"/>
    <n v="299.98"/>
  </r>
  <r>
    <s v="ORD-7030"/>
    <x v="0"/>
    <s v="PROD-206"/>
    <x v="2"/>
    <x v="3"/>
    <n v="2"/>
    <x v="2"/>
    <s v="Bluetooth Speaker"/>
    <x v="1"/>
    <n v="79.989999999999995"/>
    <n v="159.97999999999999"/>
  </r>
  <r>
    <s v="ORD-7031"/>
    <x v="5"/>
    <s v="PROD-200"/>
    <x v="0"/>
    <x v="3"/>
    <n v="5"/>
    <x v="1"/>
    <s v="Smartphone X"/>
    <x v="0"/>
    <n v="999.99"/>
    <n v="0"/>
  </r>
  <r>
    <s v="ORD-7032"/>
    <x v="1"/>
    <s v="PROD-201"/>
    <x v="3"/>
    <x v="3"/>
    <n v="3"/>
    <x v="0"/>
    <s v="Tablet Air"/>
    <x v="0"/>
    <n v="499.99"/>
    <n v="1499.97"/>
  </r>
  <r>
    <s v="ORD-7033"/>
    <x v="2"/>
    <s v="PROD-205"/>
    <x v="4"/>
    <x v="3"/>
    <n v="3"/>
    <x v="0"/>
    <s v="4K Monitor"/>
    <x v="0"/>
    <n v="349.99"/>
    <n v="1049.97"/>
  </r>
  <r>
    <s v="ORD-7034"/>
    <x v="4"/>
    <s v="PROD-204"/>
    <x v="3"/>
    <x v="3"/>
    <n v="2"/>
    <x v="2"/>
    <s v="Gaming Mouse"/>
    <x v="1"/>
    <n v="49.99"/>
    <n v="99.98"/>
  </r>
  <r>
    <s v="ORD-7035"/>
    <x v="3"/>
    <s v="PROD-205"/>
    <x v="0"/>
    <x v="0"/>
    <n v="3"/>
    <x v="1"/>
    <s v="4K Monitor"/>
    <x v="0"/>
    <n v="349.99"/>
    <n v="0"/>
  </r>
  <r>
    <s v="ORD-7036"/>
    <x v="5"/>
    <s v="PROD-202"/>
    <x v="0"/>
    <x v="2"/>
    <n v="2"/>
    <x v="2"/>
    <s v="Wireless Headphones"/>
    <x v="1"/>
    <n v="149.99"/>
    <n v="299.98"/>
  </r>
  <r>
    <s v="ORD-7037"/>
    <x v="2"/>
    <s v="PROD-205"/>
    <x v="2"/>
    <x v="2"/>
    <n v="3"/>
    <x v="0"/>
    <s v="4K Monitor"/>
    <x v="0"/>
    <n v="349.99"/>
    <n v="1049.97"/>
  </r>
  <r>
    <s v="ORD-7038"/>
    <x v="5"/>
    <s v="PROD-201"/>
    <x v="4"/>
    <x v="0"/>
    <n v="2"/>
    <x v="0"/>
    <s v="Tablet Air"/>
    <x v="0"/>
    <n v="499.99"/>
    <n v="999.98"/>
  </r>
  <r>
    <s v="ORD-7039"/>
    <x v="3"/>
    <s v="PROD-204"/>
    <x v="2"/>
    <x v="2"/>
    <n v="1"/>
    <x v="0"/>
    <s v="Gaming Mouse"/>
    <x v="1"/>
    <n v="49.99"/>
    <n v="49.99"/>
  </r>
  <r>
    <s v="ORD-7040"/>
    <x v="0"/>
    <s v="PROD-200"/>
    <x v="0"/>
    <x v="2"/>
    <n v="2"/>
    <x v="0"/>
    <s v="Smartphone X"/>
    <x v="0"/>
    <n v="999.99"/>
    <n v="1999.98"/>
  </r>
  <r>
    <s v="ORD-7041"/>
    <x v="4"/>
    <s v="PROD-205"/>
    <x v="4"/>
    <x v="0"/>
    <n v="5"/>
    <x v="0"/>
    <s v="4K Monitor"/>
    <x v="0"/>
    <n v="349.99"/>
    <n v="1749.95"/>
  </r>
  <r>
    <s v="ORD-7042"/>
    <x v="0"/>
    <s v="PROD-206"/>
    <x v="4"/>
    <x v="2"/>
    <n v="5"/>
    <x v="0"/>
    <s v="Bluetooth Speaker"/>
    <x v="1"/>
    <n v="79.989999999999995"/>
    <n v="399.95"/>
  </r>
  <r>
    <s v="ORD-7043"/>
    <x v="3"/>
    <s v="PROD-203"/>
    <x v="4"/>
    <x v="0"/>
    <n v="5"/>
    <x v="0"/>
    <s v="Mechanical Keyboard"/>
    <x v="1"/>
    <n v="89.99"/>
    <n v="449.95"/>
  </r>
  <r>
    <s v="ORD-7044"/>
    <x v="4"/>
    <s v="PROD-202"/>
    <x v="4"/>
    <x v="0"/>
    <n v="3"/>
    <x v="0"/>
    <s v="Wireless Headphones"/>
    <x v="1"/>
    <n v="149.99"/>
    <n v="449.97"/>
  </r>
  <r>
    <s v="ORD-7045"/>
    <x v="2"/>
    <s v="PROD-200"/>
    <x v="3"/>
    <x v="2"/>
    <n v="4"/>
    <x v="1"/>
    <s v="Smartphone X"/>
    <x v="0"/>
    <n v="999.99"/>
    <n v="0"/>
  </r>
  <r>
    <s v="ORD-7046"/>
    <x v="3"/>
    <s v="PROD-202"/>
    <x v="4"/>
    <x v="3"/>
    <n v="3"/>
    <x v="2"/>
    <s v="Wireless Headphones"/>
    <x v="1"/>
    <n v="149.99"/>
    <n v="449.97"/>
  </r>
  <r>
    <s v="ORD-7047"/>
    <x v="0"/>
    <s v="PROD-201"/>
    <x v="3"/>
    <x v="3"/>
    <n v="3"/>
    <x v="0"/>
    <s v="Tablet Air"/>
    <x v="0"/>
    <n v="499.99"/>
    <n v="1499.97"/>
  </r>
  <r>
    <s v="ORD-7048"/>
    <x v="1"/>
    <s v="PROD-207"/>
    <x v="4"/>
    <x v="3"/>
    <n v="1"/>
    <x v="0"/>
    <s v="Ergonomic Chair"/>
    <x v="2"/>
    <n v="249.99"/>
    <n v="249.99"/>
  </r>
  <r>
    <s v="ORD-7049"/>
    <x v="4"/>
    <s v="PROD-206"/>
    <x v="1"/>
    <x v="2"/>
    <n v="5"/>
    <x v="0"/>
    <s v="Bluetooth Speaker"/>
    <x v="1"/>
    <n v="79.989999999999995"/>
    <n v="399.95"/>
  </r>
  <r>
    <s v="ORD-7050"/>
    <x v="2"/>
    <s v="PROD-206"/>
    <x v="4"/>
    <x v="0"/>
    <n v="1"/>
    <x v="2"/>
    <s v="Bluetooth Speaker"/>
    <x v="1"/>
    <n v="79.989999999999995"/>
    <n v="79.989999999999995"/>
  </r>
  <r>
    <s v="ORD-7051"/>
    <x v="3"/>
    <s v="PROD-206"/>
    <x v="1"/>
    <x v="3"/>
    <n v="5"/>
    <x v="0"/>
    <s v="Bluetooth Speaker"/>
    <x v="1"/>
    <n v="79.989999999999995"/>
    <n v="399.95"/>
  </r>
  <r>
    <s v="ORD-7052"/>
    <x v="0"/>
    <s v="PROD-205"/>
    <x v="4"/>
    <x v="0"/>
    <n v="2"/>
    <x v="2"/>
    <s v="4K Monitor"/>
    <x v="0"/>
    <n v="349.99"/>
    <n v="699.98"/>
  </r>
  <r>
    <s v="ORD-7053"/>
    <x v="2"/>
    <s v="PROD-206"/>
    <x v="2"/>
    <x v="1"/>
    <n v="4"/>
    <x v="1"/>
    <s v="Bluetooth Speaker"/>
    <x v="1"/>
    <n v="79.989999999999995"/>
    <n v="0"/>
  </r>
  <r>
    <s v="ORD-7054"/>
    <x v="1"/>
    <s v="PROD-204"/>
    <x v="0"/>
    <x v="1"/>
    <n v="4"/>
    <x v="0"/>
    <s v="Gaming Mouse"/>
    <x v="1"/>
    <n v="49.99"/>
    <n v="199.96"/>
  </r>
  <r>
    <s v="ORD-7055"/>
    <x v="2"/>
    <s v="PROD-201"/>
    <x v="3"/>
    <x v="3"/>
    <n v="5"/>
    <x v="0"/>
    <s v="Tablet Air"/>
    <x v="0"/>
    <n v="499.99"/>
    <n v="2499.9499999999998"/>
  </r>
  <r>
    <s v="ORD-7056"/>
    <x v="0"/>
    <s v="PROD-203"/>
    <x v="2"/>
    <x v="3"/>
    <n v="1"/>
    <x v="0"/>
    <s v="Mechanical Keyboard"/>
    <x v="1"/>
    <n v="89.99"/>
    <n v="89.99"/>
  </r>
  <r>
    <s v="ORD-7057"/>
    <x v="3"/>
    <s v="PROD-205"/>
    <x v="1"/>
    <x v="1"/>
    <n v="1"/>
    <x v="2"/>
    <s v="4K Monitor"/>
    <x v="0"/>
    <n v="349.99"/>
    <n v="349.99"/>
  </r>
  <r>
    <s v="ORD-7058"/>
    <x v="4"/>
    <s v="PROD-202"/>
    <x v="2"/>
    <x v="0"/>
    <n v="2"/>
    <x v="0"/>
    <s v="Wireless Headphones"/>
    <x v="1"/>
    <n v="149.99"/>
    <n v="299.98"/>
  </r>
  <r>
    <s v="ORD-7059"/>
    <x v="1"/>
    <s v="PROD-201"/>
    <x v="3"/>
    <x v="3"/>
    <n v="5"/>
    <x v="0"/>
    <s v="Tablet Air"/>
    <x v="0"/>
    <n v="499.99"/>
    <n v="2499.9499999999998"/>
  </r>
  <r>
    <s v="ORD-7060"/>
    <x v="1"/>
    <s v="PROD-204"/>
    <x v="2"/>
    <x v="2"/>
    <n v="5"/>
    <x v="0"/>
    <s v="Gaming Mouse"/>
    <x v="1"/>
    <n v="49.99"/>
    <n v="249.95000000000002"/>
  </r>
  <r>
    <s v="ORD-7061"/>
    <x v="5"/>
    <s v="PROD-201"/>
    <x v="1"/>
    <x v="2"/>
    <n v="2"/>
    <x v="1"/>
    <s v="Tablet Air"/>
    <x v="0"/>
    <n v="499.99"/>
    <n v="0"/>
  </r>
  <r>
    <s v="ORD-7062"/>
    <x v="1"/>
    <s v="PROD-200"/>
    <x v="2"/>
    <x v="2"/>
    <n v="5"/>
    <x v="0"/>
    <s v="Smartphone X"/>
    <x v="0"/>
    <n v="999.99"/>
    <n v="4999.95"/>
  </r>
  <r>
    <s v="ORD-7063"/>
    <x v="5"/>
    <s v="PROD-205"/>
    <x v="0"/>
    <x v="0"/>
    <n v="2"/>
    <x v="0"/>
    <s v="4K Monitor"/>
    <x v="0"/>
    <n v="349.99"/>
    <n v="699.98"/>
  </r>
  <r>
    <s v="ORD-7064"/>
    <x v="0"/>
    <s v="PROD-206"/>
    <x v="2"/>
    <x v="3"/>
    <n v="2"/>
    <x v="1"/>
    <s v="Bluetooth Speaker"/>
    <x v="1"/>
    <n v="79.989999999999995"/>
    <n v="0"/>
  </r>
  <r>
    <s v="ORD-7065"/>
    <x v="2"/>
    <s v="PROD-205"/>
    <x v="3"/>
    <x v="1"/>
    <n v="4"/>
    <x v="2"/>
    <s v="4K Monitor"/>
    <x v="0"/>
    <n v="349.99"/>
    <n v="1399.96"/>
  </r>
  <r>
    <s v="ORD-7066"/>
    <x v="1"/>
    <s v="PROD-203"/>
    <x v="1"/>
    <x v="3"/>
    <n v="3"/>
    <x v="0"/>
    <s v="Mechanical Keyboard"/>
    <x v="1"/>
    <n v="89.99"/>
    <n v="269.96999999999997"/>
  </r>
  <r>
    <s v="ORD-7067"/>
    <x v="2"/>
    <s v="PROD-201"/>
    <x v="1"/>
    <x v="1"/>
    <n v="1"/>
    <x v="1"/>
    <s v="Tablet Air"/>
    <x v="0"/>
    <n v="499.99"/>
    <n v="0"/>
  </r>
  <r>
    <s v="ORD-7068"/>
    <x v="5"/>
    <s v="PROD-204"/>
    <x v="0"/>
    <x v="3"/>
    <n v="5"/>
    <x v="2"/>
    <s v="Gaming Mouse"/>
    <x v="1"/>
    <n v="49.99"/>
    <n v="249.95000000000002"/>
  </r>
  <r>
    <s v="ORD-7069"/>
    <x v="1"/>
    <s v="PROD-204"/>
    <x v="2"/>
    <x v="2"/>
    <n v="3"/>
    <x v="0"/>
    <s v="Gaming Mouse"/>
    <x v="1"/>
    <n v="49.99"/>
    <n v="149.97"/>
  </r>
  <r>
    <s v="ORD-7070"/>
    <x v="3"/>
    <s v="PROD-206"/>
    <x v="0"/>
    <x v="3"/>
    <n v="3"/>
    <x v="1"/>
    <s v="Bluetooth Speaker"/>
    <x v="1"/>
    <n v="79.989999999999995"/>
    <n v="0"/>
  </r>
  <r>
    <s v="ORD-7071"/>
    <x v="3"/>
    <s v="PROD-202"/>
    <x v="0"/>
    <x v="0"/>
    <n v="3"/>
    <x v="2"/>
    <s v="Wireless Headphones"/>
    <x v="1"/>
    <n v="149.99"/>
    <n v="449.97"/>
  </r>
  <r>
    <s v="ORD-7072"/>
    <x v="3"/>
    <s v="PROD-202"/>
    <x v="0"/>
    <x v="2"/>
    <n v="3"/>
    <x v="0"/>
    <s v="Wireless Headphones"/>
    <x v="1"/>
    <n v="149.99"/>
    <n v="449.97"/>
  </r>
  <r>
    <s v="ORD-7073"/>
    <x v="1"/>
    <s v="PROD-202"/>
    <x v="3"/>
    <x v="2"/>
    <n v="2"/>
    <x v="0"/>
    <s v="Wireless Headphones"/>
    <x v="1"/>
    <n v="149.99"/>
    <n v="299.98"/>
  </r>
  <r>
    <s v="ORD-7074"/>
    <x v="0"/>
    <s v="PROD-204"/>
    <x v="1"/>
    <x v="2"/>
    <n v="4"/>
    <x v="0"/>
    <s v="Gaming Mouse"/>
    <x v="1"/>
    <n v="49.99"/>
    <n v="199.96"/>
  </r>
  <r>
    <s v="ORD-7075"/>
    <x v="5"/>
    <s v="PROD-200"/>
    <x v="1"/>
    <x v="1"/>
    <n v="4"/>
    <x v="0"/>
    <s v="Smartphone X"/>
    <x v="0"/>
    <n v="999.99"/>
    <n v="3999.96"/>
  </r>
  <r>
    <s v="ORD-7076"/>
    <x v="0"/>
    <s v="PROD-204"/>
    <x v="1"/>
    <x v="0"/>
    <n v="2"/>
    <x v="0"/>
    <s v="Gaming Mouse"/>
    <x v="1"/>
    <n v="49.99"/>
    <n v="99.98"/>
  </r>
  <r>
    <s v="ORD-7077"/>
    <x v="3"/>
    <s v="PROD-202"/>
    <x v="4"/>
    <x v="3"/>
    <n v="3"/>
    <x v="1"/>
    <s v="Wireless Headphones"/>
    <x v="1"/>
    <n v="149.99"/>
    <n v="0"/>
  </r>
  <r>
    <s v="ORD-7078"/>
    <x v="0"/>
    <s v="PROD-203"/>
    <x v="2"/>
    <x v="0"/>
    <n v="2"/>
    <x v="0"/>
    <s v="Mechanical Keyboard"/>
    <x v="1"/>
    <n v="89.99"/>
    <n v="179.98"/>
  </r>
  <r>
    <s v="ORD-7079"/>
    <x v="5"/>
    <s v="PROD-206"/>
    <x v="0"/>
    <x v="2"/>
    <n v="2"/>
    <x v="0"/>
    <s v="Bluetooth Speaker"/>
    <x v="1"/>
    <n v="79.989999999999995"/>
    <n v="159.97999999999999"/>
  </r>
  <r>
    <s v="ORD-7080"/>
    <x v="3"/>
    <s v="PROD-202"/>
    <x v="3"/>
    <x v="1"/>
    <n v="1"/>
    <x v="1"/>
    <s v="Wireless Headphones"/>
    <x v="1"/>
    <n v="149.99"/>
    <n v="0"/>
  </r>
  <r>
    <s v="ORD-7081"/>
    <x v="1"/>
    <s v="PROD-204"/>
    <x v="0"/>
    <x v="3"/>
    <n v="3"/>
    <x v="0"/>
    <s v="Gaming Mouse"/>
    <x v="1"/>
    <n v="49.99"/>
    <n v="149.97"/>
  </r>
  <r>
    <s v="ORD-7082"/>
    <x v="4"/>
    <s v="PROD-204"/>
    <x v="4"/>
    <x v="1"/>
    <n v="3"/>
    <x v="0"/>
    <s v="Gaming Mouse"/>
    <x v="1"/>
    <n v="49.99"/>
    <n v="149.97"/>
  </r>
  <r>
    <s v="ORD-7083"/>
    <x v="2"/>
    <s v="PROD-206"/>
    <x v="3"/>
    <x v="1"/>
    <n v="1"/>
    <x v="1"/>
    <s v="Bluetooth Speaker"/>
    <x v="1"/>
    <n v="79.989999999999995"/>
    <n v="0"/>
  </r>
  <r>
    <s v="ORD-7084"/>
    <x v="3"/>
    <s v="PROD-206"/>
    <x v="4"/>
    <x v="3"/>
    <n v="5"/>
    <x v="0"/>
    <s v="Bluetooth Speaker"/>
    <x v="1"/>
    <n v="79.989999999999995"/>
    <n v="399.95"/>
  </r>
  <r>
    <s v="ORD-7085"/>
    <x v="0"/>
    <s v="PROD-201"/>
    <x v="4"/>
    <x v="0"/>
    <n v="3"/>
    <x v="0"/>
    <s v="Tablet Air"/>
    <x v="0"/>
    <n v="499.99"/>
    <n v="1499.97"/>
  </r>
  <r>
    <s v="ORD-7086"/>
    <x v="4"/>
    <s v="PROD-205"/>
    <x v="0"/>
    <x v="3"/>
    <n v="5"/>
    <x v="0"/>
    <s v="4K Monitor"/>
    <x v="0"/>
    <n v="349.99"/>
    <n v="1749.95"/>
  </r>
  <r>
    <s v="ORD-7087"/>
    <x v="1"/>
    <s v="PROD-200"/>
    <x v="2"/>
    <x v="3"/>
    <n v="2"/>
    <x v="0"/>
    <s v="Smartphone X"/>
    <x v="0"/>
    <n v="999.99"/>
    <n v="1999.98"/>
  </r>
  <r>
    <s v="ORD-7088"/>
    <x v="2"/>
    <s v="PROD-207"/>
    <x v="1"/>
    <x v="2"/>
    <n v="4"/>
    <x v="2"/>
    <s v="Ergonomic Chair"/>
    <x v="2"/>
    <n v="249.99"/>
    <n v="999.96"/>
  </r>
  <r>
    <s v="ORD-7089"/>
    <x v="0"/>
    <s v="PROD-203"/>
    <x v="1"/>
    <x v="0"/>
    <n v="4"/>
    <x v="0"/>
    <s v="Mechanical Keyboard"/>
    <x v="1"/>
    <n v="89.99"/>
    <n v="359.96"/>
  </r>
  <r>
    <s v="ORD-7090"/>
    <x v="1"/>
    <s v="PROD-207"/>
    <x v="1"/>
    <x v="0"/>
    <n v="3"/>
    <x v="0"/>
    <s v="Ergonomic Chair"/>
    <x v="2"/>
    <n v="249.99"/>
    <n v="749.97"/>
  </r>
  <r>
    <s v="ORD-7091"/>
    <x v="3"/>
    <s v="PROD-201"/>
    <x v="2"/>
    <x v="3"/>
    <n v="3"/>
    <x v="0"/>
    <s v="Tablet Air"/>
    <x v="0"/>
    <n v="499.99"/>
    <n v="1499.97"/>
  </r>
  <r>
    <s v="ORD-7092"/>
    <x v="5"/>
    <s v="PROD-207"/>
    <x v="3"/>
    <x v="1"/>
    <n v="3"/>
    <x v="0"/>
    <s v="Ergonomic Chair"/>
    <x v="2"/>
    <n v="249.99"/>
    <n v="749.97"/>
  </r>
  <r>
    <s v="ORD-7093"/>
    <x v="1"/>
    <s v="PROD-204"/>
    <x v="3"/>
    <x v="3"/>
    <n v="2"/>
    <x v="1"/>
    <s v="Gaming Mouse"/>
    <x v="1"/>
    <n v="49.99"/>
    <n v="0"/>
  </r>
  <r>
    <s v="ORD-7094"/>
    <x v="0"/>
    <s v="PROD-203"/>
    <x v="0"/>
    <x v="3"/>
    <n v="5"/>
    <x v="2"/>
    <s v="Mechanical Keyboard"/>
    <x v="1"/>
    <n v="89.99"/>
    <n v="449.95"/>
  </r>
  <r>
    <s v="ORD-7095"/>
    <x v="4"/>
    <s v="PROD-200"/>
    <x v="3"/>
    <x v="0"/>
    <n v="3"/>
    <x v="0"/>
    <s v="Smartphone X"/>
    <x v="0"/>
    <n v="999.99"/>
    <n v="2999.9700000000003"/>
  </r>
  <r>
    <s v="ORD-7096"/>
    <x v="2"/>
    <s v="PROD-202"/>
    <x v="1"/>
    <x v="2"/>
    <n v="1"/>
    <x v="1"/>
    <s v="Wireless Headphones"/>
    <x v="1"/>
    <n v="149.99"/>
    <n v="0"/>
  </r>
  <r>
    <s v="ORD-7097"/>
    <x v="0"/>
    <s v="PROD-207"/>
    <x v="3"/>
    <x v="1"/>
    <n v="5"/>
    <x v="0"/>
    <s v="Ergonomic Chair"/>
    <x v="2"/>
    <n v="249.99"/>
    <n v="1249.95"/>
  </r>
  <r>
    <s v="ORD-7098"/>
    <x v="1"/>
    <s v="PROD-201"/>
    <x v="0"/>
    <x v="2"/>
    <n v="2"/>
    <x v="0"/>
    <s v="Tablet Air"/>
    <x v="0"/>
    <n v="499.99"/>
    <n v="999.98"/>
  </r>
  <r>
    <s v="ORD-7099"/>
    <x v="4"/>
    <s v="PROD-205"/>
    <x v="0"/>
    <x v="1"/>
    <n v="4"/>
    <x v="0"/>
    <s v="4K Monitor"/>
    <x v="0"/>
    <n v="349.99"/>
    <n v="1399.96"/>
  </r>
  <r>
    <s v="ORD-7100"/>
    <x v="5"/>
    <s v="PROD-202"/>
    <x v="0"/>
    <x v="3"/>
    <n v="4"/>
    <x v="1"/>
    <s v="Wireless Headphones"/>
    <x v="1"/>
    <n v="149.99"/>
    <n v="0"/>
  </r>
  <r>
    <s v="ORD-7101"/>
    <x v="0"/>
    <s v="PROD-205"/>
    <x v="3"/>
    <x v="2"/>
    <n v="4"/>
    <x v="0"/>
    <s v="4K Monitor"/>
    <x v="0"/>
    <n v="349.99"/>
    <n v="1399.96"/>
  </r>
  <r>
    <s v="ORD-7102"/>
    <x v="3"/>
    <s v="PROD-200"/>
    <x v="4"/>
    <x v="2"/>
    <n v="4"/>
    <x v="0"/>
    <s v="Smartphone X"/>
    <x v="0"/>
    <n v="999.99"/>
    <n v="3999.96"/>
  </r>
  <r>
    <s v="ORD-7103"/>
    <x v="1"/>
    <s v="PROD-201"/>
    <x v="3"/>
    <x v="2"/>
    <n v="2"/>
    <x v="0"/>
    <s v="Tablet Air"/>
    <x v="0"/>
    <n v="499.99"/>
    <n v="999.98"/>
  </r>
  <r>
    <s v="ORD-7104"/>
    <x v="5"/>
    <s v="PROD-200"/>
    <x v="4"/>
    <x v="1"/>
    <n v="4"/>
    <x v="0"/>
    <s v="Smartphone X"/>
    <x v="0"/>
    <n v="999.99"/>
    <n v="3999.96"/>
  </r>
  <r>
    <s v="ORD-7105"/>
    <x v="5"/>
    <s v="PROD-203"/>
    <x v="3"/>
    <x v="0"/>
    <n v="5"/>
    <x v="2"/>
    <s v="Mechanical Keyboard"/>
    <x v="1"/>
    <n v="89.99"/>
    <n v="449.95"/>
  </r>
  <r>
    <s v="ORD-7106"/>
    <x v="2"/>
    <s v="PROD-200"/>
    <x v="1"/>
    <x v="1"/>
    <n v="2"/>
    <x v="0"/>
    <s v="Smartphone X"/>
    <x v="0"/>
    <n v="999.99"/>
    <n v="1999.98"/>
  </r>
  <r>
    <s v="ORD-7107"/>
    <x v="5"/>
    <s v="PROD-207"/>
    <x v="4"/>
    <x v="1"/>
    <n v="5"/>
    <x v="2"/>
    <s v="Ergonomic Chair"/>
    <x v="2"/>
    <n v="249.99"/>
    <n v="1249.95"/>
  </r>
  <r>
    <s v="ORD-7108"/>
    <x v="1"/>
    <s v="PROD-203"/>
    <x v="4"/>
    <x v="0"/>
    <n v="3"/>
    <x v="0"/>
    <s v="Mechanical Keyboard"/>
    <x v="1"/>
    <n v="89.99"/>
    <n v="269.96999999999997"/>
  </r>
  <r>
    <s v="ORD-7109"/>
    <x v="2"/>
    <s v="PROD-207"/>
    <x v="4"/>
    <x v="3"/>
    <n v="4"/>
    <x v="2"/>
    <s v="Ergonomic Chair"/>
    <x v="2"/>
    <n v="249.99"/>
    <n v="999.96"/>
  </r>
  <r>
    <s v="ORD-7110"/>
    <x v="0"/>
    <s v="PROD-207"/>
    <x v="1"/>
    <x v="1"/>
    <n v="2"/>
    <x v="1"/>
    <s v="Ergonomic Chair"/>
    <x v="2"/>
    <n v="249.99"/>
    <n v="0"/>
  </r>
  <r>
    <s v="ORD-7111"/>
    <x v="3"/>
    <s v="PROD-200"/>
    <x v="1"/>
    <x v="0"/>
    <n v="1"/>
    <x v="2"/>
    <s v="Smartphone X"/>
    <x v="0"/>
    <n v="999.99"/>
    <n v="999.99"/>
  </r>
  <r>
    <s v="ORD-7112"/>
    <x v="3"/>
    <s v="PROD-203"/>
    <x v="3"/>
    <x v="3"/>
    <n v="5"/>
    <x v="0"/>
    <s v="Mechanical Keyboard"/>
    <x v="1"/>
    <n v="89.99"/>
    <n v="449.95"/>
  </r>
  <r>
    <s v="ORD-7113"/>
    <x v="3"/>
    <s v="PROD-200"/>
    <x v="0"/>
    <x v="3"/>
    <n v="1"/>
    <x v="1"/>
    <s v="Smartphone X"/>
    <x v="0"/>
    <n v="999.99"/>
    <n v="0"/>
  </r>
  <r>
    <s v="ORD-7114"/>
    <x v="1"/>
    <s v="PROD-203"/>
    <x v="4"/>
    <x v="2"/>
    <n v="2"/>
    <x v="1"/>
    <s v="Mechanical Keyboard"/>
    <x v="1"/>
    <n v="89.99"/>
    <n v="0"/>
  </r>
  <r>
    <s v="ORD-7115"/>
    <x v="4"/>
    <s v="PROD-202"/>
    <x v="4"/>
    <x v="2"/>
    <n v="5"/>
    <x v="0"/>
    <s v="Wireless Headphones"/>
    <x v="1"/>
    <n v="149.99"/>
    <n v="749.95"/>
  </r>
  <r>
    <s v="ORD-7116"/>
    <x v="1"/>
    <s v="PROD-206"/>
    <x v="2"/>
    <x v="1"/>
    <n v="5"/>
    <x v="0"/>
    <s v="Bluetooth Speaker"/>
    <x v="1"/>
    <n v="79.989999999999995"/>
    <n v="399.95"/>
  </r>
  <r>
    <s v="ORD-7117"/>
    <x v="1"/>
    <s v="PROD-202"/>
    <x v="3"/>
    <x v="2"/>
    <n v="5"/>
    <x v="0"/>
    <s v="Wireless Headphones"/>
    <x v="1"/>
    <n v="149.99"/>
    <n v="749.95"/>
  </r>
  <r>
    <s v="ORD-7118"/>
    <x v="0"/>
    <s v="PROD-202"/>
    <x v="4"/>
    <x v="3"/>
    <n v="4"/>
    <x v="0"/>
    <s v="Wireless Headphones"/>
    <x v="1"/>
    <n v="149.99"/>
    <n v="599.96"/>
  </r>
  <r>
    <s v="ORD-7119"/>
    <x v="1"/>
    <s v="PROD-207"/>
    <x v="4"/>
    <x v="1"/>
    <n v="3"/>
    <x v="0"/>
    <s v="Ergonomic Chair"/>
    <x v="2"/>
    <n v="249.99"/>
    <n v="749.97"/>
  </r>
  <r>
    <s v="ORD-7120"/>
    <x v="1"/>
    <s v="PROD-204"/>
    <x v="2"/>
    <x v="3"/>
    <n v="3"/>
    <x v="2"/>
    <s v="Gaming Mouse"/>
    <x v="1"/>
    <n v="49.99"/>
    <n v="149.97"/>
  </r>
  <r>
    <s v="ORD-7121"/>
    <x v="2"/>
    <s v="PROD-200"/>
    <x v="4"/>
    <x v="0"/>
    <n v="2"/>
    <x v="1"/>
    <s v="Smartphone X"/>
    <x v="0"/>
    <n v="999.99"/>
    <n v="0"/>
  </r>
  <r>
    <s v="ORD-7122"/>
    <x v="4"/>
    <s v="PROD-200"/>
    <x v="0"/>
    <x v="2"/>
    <n v="5"/>
    <x v="0"/>
    <s v="Smartphone X"/>
    <x v="0"/>
    <n v="999.99"/>
    <n v="4999.95"/>
  </r>
  <r>
    <s v="ORD-7123"/>
    <x v="0"/>
    <s v="PROD-204"/>
    <x v="1"/>
    <x v="3"/>
    <n v="1"/>
    <x v="0"/>
    <s v="Gaming Mouse"/>
    <x v="1"/>
    <n v="49.99"/>
    <n v="49.99"/>
  </r>
  <r>
    <s v="ORD-7124"/>
    <x v="1"/>
    <s v="PROD-200"/>
    <x v="0"/>
    <x v="0"/>
    <n v="4"/>
    <x v="0"/>
    <s v="Smartphone X"/>
    <x v="0"/>
    <n v="999.99"/>
    <n v="3999.96"/>
  </r>
  <r>
    <s v="ORD-7125"/>
    <x v="4"/>
    <s v="PROD-200"/>
    <x v="2"/>
    <x v="1"/>
    <n v="5"/>
    <x v="0"/>
    <s v="Smartphone X"/>
    <x v="0"/>
    <n v="999.99"/>
    <n v="4999.95"/>
  </r>
  <r>
    <s v="ORD-7126"/>
    <x v="3"/>
    <s v="PROD-203"/>
    <x v="1"/>
    <x v="3"/>
    <n v="4"/>
    <x v="0"/>
    <s v="Mechanical Keyboard"/>
    <x v="1"/>
    <n v="89.99"/>
    <n v="359.96"/>
  </r>
  <r>
    <s v="ORD-7127"/>
    <x v="4"/>
    <s v="PROD-206"/>
    <x v="4"/>
    <x v="3"/>
    <n v="5"/>
    <x v="2"/>
    <s v="Bluetooth Speaker"/>
    <x v="1"/>
    <n v="79.989999999999995"/>
    <n v="399.95"/>
  </r>
  <r>
    <s v="ORD-7128"/>
    <x v="1"/>
    <s v="PROD-205"/>
    <x v="0"/>
    <x v="1"/>
    <n v="4"/>
    <x v="2"/>
    <s v="4K Monitor"/>
    <x v="0"/>
    <n v="349.99"/>
    <n v="1399.96"/>
  </r>
  <r>
    <s v="ORD-7129"/>
    <x v="5"/>
    <s v="PROD-207"/>
    <x v="1"/>
    <x v="3"/>
    <n v="2"/>
    <x v="0"/>
    <s v="Ergonomic Chair"/>
    <x v="2"/>
    <n v="249.99"/>
    <n v="499.98"/>
  </r>
  <r>
    <s v="ORD-7130"/>
    <x v="3"/>
    <s v="PROD-202"/>
    <x v="2"/>
    <x v="0"/>
    <n v="3"/>
    <x v="2"/>
    <s v="Wireless Headphones"/>
    <x v="1"/>
    <n v="149.99"/>
    <n v="449.97"/>
  </r>
  <r>
    <s v="ORD-7131"/>
    <x v="2"/>
    <s v="PROD-204"/>
    <x v="0"/>
    <x v="3"/>
    <n v="1"/>
    <x v="0"/>
    <s v="Gaming Mouse"/>
    <x v="1"/>
    <n v="49.99"/>
    <n v="49.99"/>
  </r>
  <r>
    <s v="ORD-7132"/>
    <x v="4"/>
    <s v="PROD-205"/>
    <x v="1"/>
    <x v="3"/>
    <n v="2"/>
    <x v="2"/>
    <s v="4K Monitor"/>
    <x v="0"/>
    <n v="349.99"/>
    <n v="699.98"/>
  </r>
  <r>
    <s v="ORD-7133"/>
    <x v="3"/>
    <s v="PROD-202"/>
    <x v="4"/>
    <x v="3"/>
    <n v="5"/>
    <x v="0"/>
    <s v="Wireless Headphones"/>
    <x v="1"/>
    <n v="149.99"/>
    <n v="749.95"/>
  </r>
  <r>
    <s v="ORD-7134"/>
    <x v="2"/>
    <s v="PROD-200"/>
    <x v="3"/>
    <x v="2"/>
    <n v="4"/>
    <x v="1"/>
    <s v="Smartphone X"/>
    <x v="0"/>
    <n v="999.99"/>
    <n v="0"/>
  </r>
  <r>
    <s v="ORD-7135"/>
    <x v="3"/>
    <s v="PROD-205"/>
    <x v="3"/>
    <x v="3"/>
    <n v="4"/>
    <x v="2"/>
    <s v="4K Monitor"/>
    <x v="0"/>
    <n v="349.99"/>
    <n v="1399.96"/>
  </r>
  <r>
    <s v="ORD-7136"/>
    <x v="4"/>
    <s v="PROD-205"/>
    <x v="2"/>
    <x v="0"/>
    <n v="2"/>
    <x v="1"/>
    <s v="4K Monitor"/>
    <x v="0"/>
    <n v="349.99"/>
    <n v="0"/>
  </r>
  <r>
    <s v="ORD-7137"/>
    <x v="1"/>
    <s v="PROD-203"/>
    <x v="2"/>
    <x v="3"/>
    <n v="2"/>
    <x v="0"/>
    <s v="Mechanical Keyboard"/>
    <x v="1"/>
    <n v="89.99"/>
    <n v="179.98"/>
  </r>
  <r>
    <s v="ORD-7138"/>
    <x v="0"/>
    <s v="PROD-206"/>
    <x v="4"/>
    <x v="0"/>
    <n v="5"/>
    <x v="0"/>
    <s v="Bluetooth Speaker"/>
    <x v="1"/>
    <n v="79.989999999999995"/>
    <n v="399.95"/>
  </r>
  <r>
    <s v="ORD-7139"/>
    <x v="0"/>
    <s v="PROD-204"/>
    <x v="1"/>
    <x v="1"/>
    <n v="2"/>
    <x v="0"/>
    <s v="Gaming Mouse"/>
    <x v="1"/>
    <n v="49.99"/>
    <n v="99.98"/>
  </r>
  <r>
    <s v="ORD-7140"/>
    <x v="4"/>
    <s v="PROD-202"/>
    <x v="2"/>
    <x v="2"/>
    <n v="3"/>
    <x v="0"/>
    <s v="Wireless Headphones"/>
    <x v="1"/>
    <n v="149.99"/>
    <n v="449.97"/>
  </r>
  <r>
    <s v="ORD-7141"/>
    <x v="0"/>
    <s v="PROD-204"/>
    <x v="3"/>
    <x v="1"/>
    <n v="3"/>
    <x v="0"/>
    <s v="Gaming Mouse"/>
    <x v="1"/>
    <n v="49.99"/>
    <n v="149.97"/>
  </r>
  <r>
    <s v="ORD-7142"/>
    <x v="0"/>
    <s v="PROD-207"/>
    <x v="2"/>
    <x v="3"/>
    <n v="3"/>
    <x v="0"/>
    <s v="Ergonomic Chair"/>
    <x v="2"/>
    <n v="249.99"/>
    <n v="749.97"/>
  </r>
  <r>
    <s v="ORD-7143"/>
    <x v="0"/>
    <s v="PROD-201"/>
    <x v="2"/>
    <x v="3"/>
    <n v="2"/>
    <x v="1"/>
    <s v="Tablet Air"/>
    <x v="0"/>
    <n v="499.99"/>
    <n v="0"/>
  </r>
  <r>
    <s v="ORD-7144"/>
    <x v="4"/>
    <s v="PROD-206"/>
    <x v="2"/>
    <x v="3"/>
    <n v="1"/>
    <x v="1"/>
    <s v="Bluetooth Speaker"/>
    <x v="1"/>
    <n v="79.989999999999995"/>
    <n v="0"/>
  </r>
  <r>
    <s v="ORD-7145"/>
    <x v="2"/>
    <s v="PROD-206"/>
    <x v="4"/>
    <x v="2"/>
    <n v="5"/>
    <x v="2"/>
    <s v="Bluetooth Speaker"/>
    <x v="1"/>
    <n v="79.989999999999995"/>
    <n v="399.95"/>
  </r>
  <r>
    <s v="ORD-7146"/>
    <x v="3"/>
    <s v="PROD-204"/>
    <x v="2"/>
    <x v="1"/>
    <n v="2"/>
    <x v="1"/>
    <s v="Gaming Mouse"/>
    <x v="1"/>
    <n v="49.99"/>
    <n v="0"/>
  </r>
  <r>
    <s v="ORD-7147"/>
    <x v="1"/>
    <s v="PROD-204"/>
    <x v="0"/>
    <x v="3"/>
    <n v="5"/>
    <x v="0"/>
    <s v="Gaming Mouse"/>
    <x v="1"/>
    <n v="49.99"/>
    <n v="249.95000000000002"/>
  </r>
  <r>
    <s v="ORD-7148"/>
    <x v="3"/>
    <s v="PROD-207"/>
    <x v="2"/>
    <x v="0"/>
    <n v="4"/>
    <x v="0"/>
    <s v="Ergonomic Chair"/>
    <x v="2"/>
    <n v="249.99"/>
    <n v="999.96"/>
  </r>
  <r>
    <s v="ORD-7149"/>
    <x v="4"/>
    <s v="PROD-200"/>
    <x v="3"/>
    <x v="0"/>
    <n v="3"/>
    <x v="2"/>
    <s v="Smartphone X"/>
    <x v="0"/>
    <n v="999.99"/>
    <n v="2999.9700000000003"/>
  </r>
  <r>
    <s v="ORD-7150"/>
    <x v="5"/>
    <s v="PROD-202"/>
    <x v="0"/>
    <x v="0"/>
    <n v="5"/>
    <x v="0"/>
    <s v="Wireless Headphones"/>
    <x v="1"/>
    <n v="149.99"/>
    <n v="749.95"/>
  </r>
  <r>
    <s v="ORD-7151"/>
    <x v="0"/>
    <s v="PROD-200"/>
    <x v="2"/>
    <x v="1"/>
    <n v="3"/>
    <x v="0"/>
    <s v="Smartphone X"/>
    <x v="0"/>
    <n v="999.99"/>
    <n v="2999.9700000000003"/>
  </r>
  <r>
    <s v="ORD-7152"/>
    <x v="0"/>
    <s v="PROD-204"/>
    <x v="4"/>
    <x v="2"/>
    <n v="3"/>
    <x v="0"/>
    <s v="Gaming Mouse"/>
    <x v="1"/>
    <n v="49.99"/>
    <n v="149.97"/>
  </r>
  <r>
    <s v="ORD-7153"/>
    <x v="1"/>
    <s v="PROD-203"/>
    <x v="1"/>
    <x v="1"/>
    <n v="5"/>
    <x v="0"/>
    <s v="Mechanical Keyboard"/>
    <x v="1"/>
    <n v="89.99"/>
    <n v="449.95"/>
  </r>
  <r>
    <s v="ORD-7154"/>
    <x v="4"/>
    <s v="PROD-202"/>
    <x v="1"/>
    <x v="0"/>
    <n v="2"/>
    <x v="1"/>
    <s v="Wireless Headphones"/>
    <x v="1"/>
    <n v="149.99"/>
    <n v="0"/>
  </r>
  <r>
    <s v="ORD-7155"/>
    <x v="5"/>
    <s v="PROD-200"/>
    <x v="0"/>
    <x v="1"/>
    <n v="5"/>
    <x v="0"/>
    <s v="Smartphone X"/>
    <x v="0"/>
    <n v="999.99"/>
    <n v="4999.95"/>
  </r>
  <r>
    <s v="ORD-7156"/>
    <x v="1"/>
    <s v="PROD-202"/>
    <x v="3"/>
    <x v="3"/>
    <n v="4"/>
    <x v="0"/>
    <s v="Wireless Headphones"/>
    <x v="1"/>
    <n v="149.99"/>
    <n v="599.96"/>
  </r>
  <r>
    <s v="ORD-7157"/>
    <x v="5"/>
    <s v="PROD-203"/>
    <x v="2"/>
    <x v="0"/>
    <n v="1"/>
    <x v="0"/>
    <s v="Mechanical Keyboard"/>
    <x v="1"/>
    <n v="89.99"/>
    <n v="89.99"/>
  </r>
  <r>
    <s v="ORD-7158"/>
    <x v="5"/>
    <s v="PROD-204"/>
    <x v="4"/>
    <x v="3"/>
    <n v="1"/>
    <x v="0"/>
    <s v="Gaming Mouse"/>
    <x v="1"/>
    <n v="49.99"/>
    <n v="49.99"/>
  </r>
  <r>
    <s v="ORD-7159"/>
    <x v="4"/>
    <s v="PROD-204"/>
    <x v="3"/>
    <x v="3"/>
    <n v="1"/>
    <x v="0"/>
    <s v="Gaming Mouse"/>
    <x v="1"/>
    <n v="49.99"/>
    <n v="49.99"/>
  </r>
  <r>
    <s v="ORD-7160"/>
    <x v="3"/>
    <s v="PROD-205"/>
    <x v="2"/>
    <x v="2"/>
    <n v="4"/>
    <x v="0"/>
    <s v="4K Monitor"/>
    <x v="0"/>
    <n v="349.99"/>
    <n v="1399.96"/>
  </r>
  <r>
    <s v="ORD-7161"/>
    <x v="5"/>
    <s v="PROD-206"/>
    <x v="0"/>
    <x v="1"/>
    <n v="3"/>
    <x v="0"/>
    <s v="Bluetooth Speaker"/>
    <x v="1"/>
    <n v="79.989999999999995"/>
    <n v="239.96999999999997"/>
  </r>
  <r>
    <s v="ORD-7162"/>
    <x v="5"/>
    <s v="PROD-205"/>
    <x v="2"/>
    <x v="2"/>
    <n v="1"/>
    <x v="0"/>
    <s v="4K Monitor"/>
    <x v="0"/>
    <n v="349.99"/>
    <n v="349.99"/>
  </r>
  <r>
    <s v="ORD-7163"/>
    <x v="4"/>
    <s v="PROD-206"/>
    <x v="1"/>
    <x v="1"/>
    <n v="3"/>
    <x v="1"/>
    <s v="Bluetooth Speaker"/>
    <x v="1"/>
    <n v="79.989999999999995"/>
    <n v="0"/>
  </r>
  <r>
    <s v="ORD-7164"/>
    <x v="1"/>
    <s v="PROD-202"/>
    <x v="1"/>
    <x v="3"/>
    <n v="2"/>
    <x v="2"/>
    <s v="Wireless Headphones"/>
    <x v="1"/>
    <n v="149.99"/>
    <n v="299.98"/>
  </r>
  <r>
    <s v="ORD-7165"/>
    <x v="5"/>
    <s v="PROD-204"/>
    <x v="0"/>
    <x v="2"/>
    <n v="3"/>
    <x v="0"/>
    <s v="Gaming Mouse"/>
    <x v="1"/>
    <n v="49.99"/>
    <n v="149.97"/>
  </r>
  <r>
    <s v="ORD-7166"/>
    <x v="5"/>
    <s v="PROD-205"/>
    <x v="4"/>
    <x v="0"/>
    <n v="2"/>
    <x v="0"/>
    <s v="4K Monitor"/>
    <x v="0"/>
    <n v="349.99"/>
    <n v="699.98"/>
  </r>
  <r>
    <s v="ORD-7167"/>
    <x v="5"/>
    <s v="PROD-202"/>
    <x v="1"/>
    <x v="1"/>
    <n v="2"/>
    <x v="0"/>
    <s v="Wireless Headphones"/>
    <x v="1"/>
    <n v="149.99"/>
    <n v="299.98"/>
  </r>
  <r>
    <s v="ORD-7168"/>
    <x v="1"/>
    <s v="PROD-200"/>
    <x v="1"/>
    <x v="2"/>
    <n v="5"/>
    <x v="2"/>
    <s v="Smartphone X"/>
    <x v="0"/>
    <n v="999.99"/>
    <n v="4999.95"/>
  </r>
  <r>
    <s v="ORD-7169"/>
    <x v="0"/>
    <s v="PROD-202"/>
    <x v="1"/>
    <x v="1"/>
    <n v="5"/>
    <x v="0"/>
    <s v="Wireless Headphones"/>
    <x v="1"/>
    <n v="149.99"/>
    <n v="749.95"/>
  </r>
  <r>
    <s v="ORD-7170"/>
    <x v="4"/>
    <s v="PROD-207"/>
    <x v="0"/>
    <x v="2"/>
    <n v="4"/>
    <x v="2"/>
    <s v="Ergonomic Chair"/>
    <x v="2"/>
    <n v="249.99"/>
    <n v="999.96"/>
  </r>
  <r>
    <s v="ORD-7171"/>
    <x v="0"/>
    <s v="PROD-207"/>
    <x v="1"/>
    <x v="3"/>
    <n v="2"/>
    <x v="0"/>
    <s v="Ergonomic Chair"/>
    <x v="2"/>
    <n v="249.99"/>
    <n v="499.98"/>
  </r>
  <r>
    <s v="ORD-7172"/>
    <x v="3"/>
    <s v="PROD-204"/>
    <x v="1"/>
    <x v="3"/>
    <n v="4"/>
    <x v="1"/>
    <s v="Gaming Mouse"/>
    <x v="1"/>
    <n v="49.99"/>
    <n v="0"/>
  </r>
  <r>
    <s v="ORD-7173"/>
    <x v="0"/>
    <s v="PROD-207"/>
    <x v="2"/>
    <x v="1"/>
    <n v="1"/>
    <x v="0"/>
    <s v="Ergonomic Chair"/>
    <x v="2"/>
    <n v="249.99"/>
    <n v="249.99"/>
  </r>
  <r>
    <s v="ORD-7174"/>
    <x v="0"/>
    <s v="PROD-205"/>
    <x v="2"/>
    <x v="0"/>
    <n v="3"/>
    <x v="0"/>
    <s v="4K Monitor"/>
    <x v="0"/>
    <n v="349.99"/>
    <n v="1049.97"/>
  </r>
  <r>
    <s v="ORD-7175"/>
    <x v="4"/>
    <s v="PROD-202"/>
    <x v="4"/>
    <x v="0"/>
    <n v="4"/>
    <x v="0"/>
    <s v="Wireless Headphones"/>
    <x v="1"/>
    <n v="149.99"/>
    <n v="599.96"/>
  </r>
  <r>
    <s v="ORD-7176"/>
    <x v="3"/>
    <s v="PROD-205"/>
    <x v="0"/>
    <x v="3"/>
    <n v="3"/>
    <x v="0"/>
    <s v="4K Monitor"/>
    <x v="0"/>
    <n v="349.99"/>
    <n v="1049.97"/>
  </r>
  <r>
    <s v="ORD-7177"/>
    <x v="2"/>
    <s v="PROD-202"/>
    <x v="4"/>
    <x v="3"/>
    <n v="3"/>
    <x v="0"/>
    <s v="Wireless Headphones"/>
    <x v="1"/>
    <n v="149.99"/>
    <n v="449.97"/>
  </r>
  <r>
    <s v="ORD-7178"/>
    <x v="4"/>
    <s v="PROD-200"/>
    <x v="2"/>
    <x v="3"/>
    <n v="4"/>
    <x v="0"/>
    <s v="Smartphone X"/>
    <x v="0"/>
    <n v="999.99"/>
    <n v="3999.96"/>
  </r>
  <r>
    <s v="ORD-7179"/>
    <x v="5"/>
    <s v="PROD-206"/>
    <x v="1"/>
    <x v="1"/>
    <n v="4"/>
    <x v="2"/>
    <s v="Bluetooth Speaker"/>
    <x v="1"/>
    <n v="79.989999999999995"/>
    <n v="319.95999999999998"/>
  </r>
  <r>
    <s v="ORD-7180"/>
    <x v="4"/>
    <s v="PROD-202"/>
    <x v="0"/>
    <x v="2"/>
    <n v="1"/>
    <x v="0"/>
    <s v="Wireless Headphones"/>
    <x v="1"/>
    <n v="149.99"/>
    <n v="149.99"/>
  </r>
  <r>
    <s v="ORD-7181"/>
    <x v="0"/>
    <s v="PROD-207"/>
    <x v="3"/>
    <x v="0"/>
    <n v="2"/>
    <x v="1"/>
    <s v="Ergonomic Chair"/>
    <x v="2"/>
    <n v="249.99"/>
    <n v="0"/>
  </r>
  <r>
    <s v="ORD-7182"/>
    <x v="2"/>
    <s v="PROD-203"/>
    <x v="2"/>
    <x v="3"/>
    <n v="1"/>
    <x v="0"/>
    <s v="Mechanical Keyboard"/>
    <x v="1"/>
    <n v="89.99"/>
    <n v="89.99"/>
  </r>
  <r>
    <s v="ORD-7183"/>
    <x v="1"/>
    <s v="PROD-201"/>
    <x v="1"/>
    <x v="2"/>
    <n v="3"/>
    <x v="0"/>
    <s v="Tablet Air"/>
    <x v="0"/>
    <n v="499.99"/>
    <n v="1499.97"/>
  </r>
  <r>
    <s v="ORD-7184"/>
    <x v="4"/>
    <s v="PROD-206"/>
    <x v="2"/>
    <x v="2"/>
    <n v="4"/>
    <x v="0"/>
    <s v="Bluetooth Speaker"/>
    <x v="1"/>
    <n v="79.989999999999995"/>
    <n v="319.95999999999998"/>
  </r>
  <r>
    <s v="ORD-7185"/>
    <x v="0"/>
    <s v="PROD-205"/>
    <x v="2"/>
    <x v="1"/>
    <n v="5"/>
    <x v="0"/>
    <s v="4K Monitor"/>
    <x v="0"/>
    <n v="349.99"/>
    <n v="1749.95"/>
  </r>
  <r>
    <s v="ORD-7186"/>
    <x v="4"/>
    <s v="PROD-206"/>
    <x v="3"/>
    <x v="3"/>
    <n v="1"/>
    <x v="0"/>
    <s v="Bluetooth Speaker"/>
    <x v="1"/>
    <n v="79.989999999999995"/>
    <n v="79.989999999999995"/>
  </r>
  <r>
    <s v="ORD-7187"/>
    <x v="0"/>
    <s v="PROD-205"/>
    <x v="3"/>
    <x v="1"/>
    <n v="1"/>
    <x v="0"/>
    <s v="4K Monitor"/>
    <x v="0"/>
    <n v="349.99"/>
    <n v="349.99"/>
  </r>
  <r>
    <s v="ORD-7188"/>
    <x v="5"/>
    <s v="PROD-205"/>
    <x v="1"/>
    <x v="0"/>
    <n v="5"/>
    <x v="0"/>
    <s v="4K Monitor"/>
    <x v="0"/>
    <n v="349.99"/>
    <n v="1749.95"/>
  </r>
  <r>
    <s v="ORD-7189"/>
    <x v="2"/>
    <s v="PROD-203"/>
    <x v="2"/>
    <x v="1"/>
    <n v="1"/>
    <x v="2"/>
    <s v="Mechanical Keyboard"/>
    <x v="1"/>
    <n v="89.99"/>
    <n v="89.99"/>
  </r>
  <r>
    <s v="ORD-7190"/>
    <x v="1"/>
    <s v="PROD-201"/>
    <x v="1"/>
    <x v="0"/>
    <n v="3"/>
    <x v="2"/>
    <s v="Tablet Air"/>
    <x v="0"/>
    <n v="499.99"/>
    <n v="1499.97"/>
  </r>
  <r>
    <s v="ORD-7191"/>
    <x v="4"/>
    <s v="PROD-201"/>
    <x v="4"/>
    <x v="1"/>
    <n v="4"/>
    <x v="0"/>
    <s v="Tablet Air"/>
    <x v="0"/>
    <n v="499.99"/>
    <n v="1999.96"/>
  </r>
  <r>
    <s v="ORD-7192"/>
    <x v="0"/>
    <s v="PROD-203"/>
    <x v="1"/>
    <x v="0"/>
    <n v="1"/>
    <x v="0"/>
    <s v="Mechanical Keyboard"/>
    <x v="1"/>
    <n v="89.99"/>
    <n v="89.99"/>
  </r>
  <r>
    <s v="ORD-7193"/>
    <x v="5"/>
    <s v="PROD-203"/>
    <x v="1"/>
    <x v="1"/>
    <n v="2"/>
    <x v="0"/>
    <s v="Mechanical Keyboard"/>
    <x v="1"/>
    <n v="89.99"/>
    <n v="179.98"/>
  </r>
  <r>
    <s v="ORD-7194"/>
    <x v="5"/>
    <s v="PROD-206"/>
    <x v="1"/>
    <x v="2"/>
    <n v="2"/>
    <x v="0"/>
    <s v="Bluetooth Speaker"/>
    <x v="1"/>
    <n v="79.989999999999995"/>
    <n v="159.97999999999999"/>
  </r>
  <r>
    <s v="ORD-7195"/>
    <x v="2"/>
    <s v="PROD-202"/>
    <x v="2"/>
    <x v="3"/>
    <n v="2"/>
    <x v="2"/>
    <s v="Wireless Headphones"/>
    <x v="1"/>
    <n v="149.99"/>
    <n v="299.98"/>
  </r>
  <r>
    <s v="ORD-7196"/>
    <x v="2"/>
    <s v="PROD-203"/>
    <x v="3"/>
    <x v="2"/>
    <n v="1"/>
    <x v="0"/>
    <s v="Mechanical Keyboard"/>
    <x v="1"/>
    <n v="89.99"/>
    <n v="89.99"/>
  </r>
  <r>
    <s v="ORD-7197"/>
    <x v="5"/>
    <s v="PROD-206"/>
    <x v="1"/>
    <x v="1"/>
    <n v="1"/>
    <x v="1"/>
    <s v="Bluetooth Speaker"/>
    <x v="1"/>
    <n v="79.989999999999995"/>
    <n v="0"/>
  </r>
  <r>
    <s v="ORD-7198"/>
    <x v="5"/>
    <s v="PROD-203"/>
    <x v="2"/>
    <x v="3"/>
    <n v="4"/>
    <x v="1"/>
    <s v="Mechanical Keyboard"/>
    <x v="1"/>
    <n v="89.99"/>
    <n v="0"/>
  </r>
  <r>
    <s v="ORD-7199"/>
    <x v="0"/>
    <s v="PROD-205"/>
    <x v="0"/>
    <x v="2"/>
    <n v="1"/>
    <x v="0"/>
    <s v="4K Monitor"/>
    <x v="0"/>
    <n v="349.99"/>
    <n v="349.99"/>
  </r>
  <r>
    <s v="ORD-7200"/>
    <x v="1"/>
    <s v="PROD-201"/>
    <x v="1"/>
    <x v="0"/>
    <n v="1"/>
    <x v="0"/>
    <s v="Tablet Air"/>
    <x v="0"/>
    <n v="499.99"/>
    <n v="499.99"/>
  </r>
  <r>
    <s v="ORD-7201"/>
    <x v="0"/>
    <s v="PROD-202"/>
    <x v="4"/>
    <x v="2"/>
    <n v="1"/>
    <x v="2"/>
    <s v="Wireless Headphones"/>
    <x v="1"/>
    <n v="149.99"/>
    <n v="149.99"/>
  </r>
  <r>
    <s v="ORD-7202"/>
    <x v="4"/>
    <s v="PROD-200"/>
    <x v="3"/>
    <x v="1"/>
    <n v="1"/>
    <x v="1"/>
    <s v="Smartphone X"/>
    <x v="0"/>
    <n v="999.99"/>
    <n v="0"/>
  </r>
  <r>
    <s v="ORD-7203"/>
    <x v="1"/>
    <s v="PROD-200"/>
    <x v="3"/>
    <x v="0"/>
    <n v="5"/>
    <x v="0"/>
    <s v="Smartphone X"/>
    <x v="0"/>
    <n v="999.99"/>
    <n v="4999.95"/>
  </r>
  <r>
    <s v="ORD-7204"/>
    <x v="4"/>
    <s v="PROD-201"/>
    <x v="4"/>
    <x v="3"/>
    <n v="1"/>
    <x v="0"/>
    <s v="Tablet Air"/>
    <x v="0"/>
    <n v="499.99"/>
    <n v="499.99"/>
  </r>
  <r>
    <s v="ORD-7205"/>
    <x v="3"/>
    <s v="PROD-207"/>
    <x v="0"/>
    <x v="0"/>
    <n v="2"/>
    <x v="0"/>
    <s v="Ergonomic Chair"/>
    <x v="2"/>
    <n v="249.99"/>
    <n v="499.98"/>
  </r>
  <r>
    <s v="ORD-7206"/>
    <x v="5"/>
    <s v="PROD-206"/>
    <x v="4"/>
    <x v="1"/>
    <n v="4"/>
    <x v="0"/>
    <s v="Bluetooth Speaker"/>
    <x v="1"/>
    <n v="79.989999999999995"/>
    <n v="319.95999999999998"/>
  </r>
  <r>
    <s v="ORD-7207"/>
    <x v="4"/>
    <s v="PROD-203"/>
    <x v="0"/>
    <x v="0"/>
    <n v="3"/>
    <x v="1"/>
    <s v="Mechanical Keyboard"/>
    <x v="1"/>
    <n v="89.99"/>
    <n v="0"/>
  </r>
  <r>
    <s v="ORD-7208"/>
    <x v="5"/>
    <s v="PROD-204"/>
    <x v="1"/>
    <x v="1"/>
    <n v="3"/>
    <x v="1"/>
    <s v="Gaming Mouse"/>
    <x v="1"/>
    <n v="49.99"/>
    <n v="0"/>
  </r>
  <r>
    <s v="ORD-7209"/>
    <x v="4"/>
    <s v="PROD-207"/>
    <x v="0"/>
    <x v="3"/>
    <n v="1"/>
    <x v="0"/>
    <s v="Ergonomic Chair"/>
    <x v="2"/>
    <n v="249.99"/>
    <n v="249.99"/>
  </r>
  <r>
    <s v="ORD-7210"/>
    <x v="1"/>
    <s v="PROD-205"/>
    <x v="4"/>
    <x v="2"/>
    <n v="3"/>
    <x v="0"/>
    <s v="4K Monitor"/>
    <x v="0"/>
    <n v="349.99"/>
    <n v="1049.97"/>
  </r>
  <r>
    <s v="ORD-7211"/>
    <x v="5"/>
    <s v="PROD-200"/>
    <x v="1"/>
    <x v="0"/>
    <n v="2"/>
    <x v="2"/>
    <s v="Smartphone X"/>
    <x v="0"/>
    <n v="999.99"/>
    <n v="1999.98"/>
  </r>
  <r>
    <s v="ORD-7212"/>
    <x v="5"/>
    <s v="PROD-202"/>
    <x v="1"/>
    <x v="0"/>
    <n v="3"/>
    <x v="2"/>
    <s v="Wireless Headphones"/>
    <x v="1"/>
    <n v="149.99"/>
    <n v="449.97"/>
  </r>
  <r>
    <s v="ORD-7213"/>
    <x v="1"/>
    <s v="PROD-206"/>
    <x v="4"/>
    <x v="0"/>
    <n v="3"/>
    <x v="0"/>
    <s v="Bluetooth Speaker"/>
    <x v="1"/>
    <n v="79.989999999999995"/>
    <n v="239.96999999999997"/>
  </r>
  <r>
    <s v="ORD-7214"/>
    <x v="5"/>
    <s v="PROD-206"/>
    <x v="3"/>
    <x v="1"/>
    <n v="5"/>
    <x v="0"/>
    <s v="Bluetooth Speaker"/>
    <x v="1"/>
    <n v="79.989999999999995"/>
    <n v="399.95"/>
  </r>
  <r>
    <s v="ORD-7215"/>
    <x v="4"/>
    <s v="PROD-205"/>
    <x v="4"/>
    <x v="3"/>
    <n v="5"/>
    <x v="0"/>
    <s v="4K Monitor"/>
    <x v="0"/>
    <n v="349.99"/>
    <n v="1749.95"/>
  </r>
  <r>
    <s v="ORD-7216"/>
    <x v="5"/>
    <s v="PROD-204"/>
    <x v="0"/>
    <x v="0"/>
    <n v="2"/>
    <x v="0"/>
    <s v="Gaming Mouse"/>
    <x v="1"/>
    <n v="49.99"/>
    <n v="99.98"/>
  </r>
  <r>
    <s v="ORD-7217"/>
    <x v="0"/>
    <s v="PROD-202"/>
    <x v="1"/>
    <x v="1"/>
    <n v="3"/>
    <x v="0"/>
    <s v="Wireless Headphones"/>
    <x v="1"/>
    <n v="149.99"/>
    <n v="449.97"/>
  </r>
  <r>
    <s v="ORD-7218"/>
    <x v="5"/>
    <s v="PROD-202"/>
    <x v="2"/>
    <x v="1"/>
    <n v="4"/>
    <x v="1"/>
    <s v="Wireless Headphones"/>
    <x v="1"/>
    <n v="149.99"/>
    <n v="0"/>
  </r>
  <r>
    <s v="ORD-7219"/>
    <x v="5"/>
    <s v="PROD-207"/>
    <x v="2"/>
    <x v="1"/>
    <n v="4"/>
    <x v="0"/>
    <s v="Ergonomic Chair"/>
    <x v="2"/>
    <n v="249.99"/>
    <n v="999.96"/>
  </r>
  <r>
    <s v="ORD-7220"/>
    <x v="1"/>
    <s v="PROD-205"/>
    <x v="0"/>
    <x v="2"/>
    <n v="1"/>
    <x v="1"/>
    <s v="4K Monitor"/>
    <x v="0"/>
    <n v="349.99"/>
    <n v="0"/>
  </r>
  <r>
    <s v="ORD-7221"/>
    <x v="0"/>
    <s v="PROD-202"/>
    <x v="0"/>
    <x v="1"/>
    <n v="1"/>
    <x v="0"/>
    <s v="Wireless Headphones"/>
    <x v="1"/>
    <n v="149.99"/>
    <n v="149.99"/>
  </r>
  <r>
    <s v="ORD-7222"/>
    <x v="4"/>
    <s v="PROD-207"/>
    <x v="3"/>
    <x v="1"/>
    <n v="2"/>
    <x v="0"/>
    <s v="Ergonomic Chair"/>
    <x v="2"/>
    <n v="249.99"/>
    <n v="499.98"/>
  </r>
  <r>
    <s v="ORD-7223"/>
    <x v="5"/>
    <s v="PROD-207"/>
    <x v="2"/>
    <x v="0"/>
    <n v="2"/>
    <x v="0"/>
    <s v="Ergonomic Chair"/>
    <x v="2"/>
    <n v="249.99"/>
    <n v="499.98"/>
  </r>
  <r>
    <s v="ORD-7224"/>
    <x v="0"/>
    <s v="PROD-207"/>
    <x v="1"/>
    <x v="0"/>
    <n v="2"/>
    <x v="0"/>
    <s v="Ergonomic Chair"/>
    <x v="2"/>
    <n v="249.99"/>
    <n v="499.98"/>
  </r>
  <r>
    <s v="ORD-7225"/>
    <x v="3"/>
    <s v="PROD-202"/>
    <x v="1"/>
    <x v="1"/>
    <n v="1"/>
    <x v="0"/>
    <s v="Wireless Headphones"/>
    <x v="1"/>
    <n v="149.99"/>
    <n v="149.99"/>
  </r>
  <r>
    <s v="ORD-7226"/>
    <x v="3"/>
    <s v="PROD-207"/>
    <x v="1"/>
    <x v="3"/>
    <n v="3"/>
    <x v="2"/>
    <s v="Ergonomic Chair"/>
    <x v="2"/>
    <n v="249.99"/>
    <n v="749.97"/>
  </r>
  <r>
    <s v="ORD-7227"/>
    <x v="2"/>
    <s v="PROD-207"/>
    <x v="2"/>
    <x v="3"/>
    <n v="5"/>
    <x v="1"/>
    <s v="Ergonomic Chair"/>
    <x v="2"/>
    <n v="249.99"/>
    <n v="0"/>
  </r>
  <r>
    <s v="ORD-7228"/>
    <x v="2"/>
    <s v="PROD-204"/>
    <x v="4"/>
    <x v="1"/>
    <n v="3"/>
    <x v="0"/>
    <s v="Gaming Mouse"/>
    <x v="1"/>
    <n v="49.99"/>
    <n v="149.97"/>
  </r>
  <r>
    <s v="ORD-7229"/>
    <x v="1"/>
    <s v="PROD-207"/>
    <x v="3"/>
    <x v="2"/>
    <n v="5"/>
    <x v="0"/>
    <s v="Ergonomic Chair"/>
    <x v="2"/>
    <n v="249.99"/>
    <n v="1249.95"/>
  </r>
  <r>
    <s v="ORD-7230"/>
    <x v="3"/>
    <s v="PROD-207"/>
    <x v="1"/>
    <x v="3"/>
    <n v="5"/>
    <x v="0"/>
    <s v="Ergonomic Chair"/>
    <x v="2"/>
    <n v="249.99"/>
    <n v="1249.95"/>
  </r>
  <r>
    <s v="ORD-7231"/>
    <x v="2"/>
    <s v="PROD-201"/>
    <x v="2"/>
    <x v="3"/>
    <n v="4"/>
    <x v="1"/>
    <s v="Tablet Air"/>
    <x v="0"/>
    <n v="499.99"/>
    <n v="0"/>
  </r>
  <r>
    <s v="ORD-7232"/>
    <x v="4"/>
    <s v="PROD-207"/>
    <x v="2"/>
    <x v="1"/>
    <n v="5"/>
    <x v="2"/>
    <s v="Ergonomic Chair"/>
    <x v="2"/>
    <n v="249.99"/>
    <n v="1249.95"/>
  </r>
  <r>
    <s v="ORD-7233"/>
    <x v="5"/>
    <s v="PROD-200"/>
    <x v="3"/>
    <x v="0"/>
    <n v="2"/>
    <x v="2"/>
    <s v="Smartphone X"/>
    <x v="0"/>
    <n v="999.99"/>
    <n v="1999.98"/>
  </r>
  <r>
    <s v="ORD-7234"/>
    <x v="5"/>
    <s v="PROD-207"/>
    <x v="4"/>
    <x v="0"/>
    <n v="4"/>
    <x v="0"/>
    <s v="Ergonomic Chair"/>
    <x v="2"/>
    <n v="249.99"/>
    <n v="999.96"/>
  </r>
  <r>
    <s v="ORD-7235"/>
    <x v="1"/>
    <s v="PROD-203"/>
    <x v="4"/>
    <x v="3"/>
    <n v="3"/>
    <x v="0"/>
    <s v="Mechanical Keyboard"/>
    <x v="1"/>
    <n v="89.99"/>
    <n v="269.96999999999997"/>
  </r>
  <r>
    <s v="ORD-7236"/>
    <x v="2"/>
    <s v="PROD-201"/>
    <x v="1"/>
    <x v="3"/>
    <n v="2"/>
    <x v="0"/>
    <s v="Tablet Air"/>
    <x v="0"/>
    <n v="499.99"/>
    <n v="999.98"/>
  </r>
  <r>
    <s v="ORD-7237"/>
    <x v="0"/>
    <s v="PROD-205"/>
    <x v="3"/>
    <x v="2"/>
    <n v="4"/>
    <x v="0"/>
    <s v="4K Monitor"/>
    <x v="0"/>
    <n v="349.99"/>
    <n v="1399.96"/>
  </r>
  <r>
    <s v="ORD-7238"/>
    <x v="1"/>
    <s v="PROD-207"/>
    <x v="4"/>
    <x v="3"/>
    <n v="1"/>
    <x v="1"/>
    <s v="Ergonomic Chair"/>
    <x v="2"/>
    <n v="249.99"/>
    <n v="0"/>
  </r>
  <r>
    <s v="ORD-7239"/>
    <x v="4"/>
    <s v="PROD-200"/>
    <x v="3"/>
    <x v="3"/>
    <n v="4"/>
    <x v="0"/>
    <s v="Smartphone X"/>
    <x v="0"/>
    <n v="999.99"/>
    <n v="3999.96"/>
  </r>
  <r>
    <s v="ORD-7240"/>
    <x v="5"/>
    <s v="PROD-206"/>
    <x v="0"/>
    <x v="2"/>
    <n v="3"/>
    <x v="0"/>
    <s v="Bluetooth Speaker"/>
    <x v="1"/>
    <n v="79.989999999999995"/>
    <n v="239.96999999999997"/>
  </r>
  <r>
    <s v="ORD-7241"/>
    <x v="5"/>
    <s v="PROD-206"/>
    <x v="2"/>
    <x v="0"/>
    <n v="2"/>
    <x v="0"/>
    <s v="Bluetooth Speaker"/>
    <x v="1"/>
    <n v="79.989999999999995"/>
    <n v="159.97999999999999"/>
  </r>
  <r>
    <s v="ORD-7242"/>
    <x v="0"/>
    <s v="PROD-205"/>
    <x v="1"/>
    <x v="3"/>
    <n v="1"/>
    <x v="0"/>
    <s v="4K Monitor"/>
    <x v="0"/>
    <n v="349.99"/>
    <n v="349.99"/>
  </r>
  <r>
    <s v="ORD-7243"/>
    <x v="0"/>
    <s v="PROD-200"/>
    <x v="1"/>
    <x v="2"/>
    <n v="3"/>
    <x v="2"/>
    <s v="Smartphone X"/>
    <x v="0"/>
    <n v="999.99"/>
    <n v="2999.9700000000003"/>
  </r>
  <r>
    <s v="ORD-7244"/>
    <x v="2"/>
    <s v="PROD-203"/>
    <x v="0"/>
    <x v="3"/>
    <n v="4"/>
    <x v="0"/>
    <s v="Mechanical Keyboard"/>
    <x v="1"/>
    <n v="89.99"/>
    <n v="359.96"/>
  </r>
  <r>
    <s v="ORD-7245"/>
    <x v="2"/>
    <s v="PROD-202"/>
    <x v="0"/>
    <x v="2"/>
    <n v="1"/>
    <x v="0"/>
    <s v="Wireless Headphones"/>
    <x v="1"/>
    <n v="149.99"/>
    <n v="149.99"/>
  </r>
  <r>
    <s v="ORD-7246"/>
    <x v="5"/>
    <s v="PROD-201"/>
    <x v="1"/>
    <x v="0"/>
    <n v="4"/>
    <x v="0"/>
    <s v="Tablet Air"/>
    <x v="0"/>
    <n v="499.99"/>
    <n v="1999.96"/>
  </r>
  <r>
    <s v="ORD-7247"/>
    <x v="2"/>
    <s v="PROD-206"/>
    <x v="0"/>
    <x v="2"/>
    <n v="2"/>
    <x v="2"/>
    <s v="Bluetooth Speaker"/>
    <x v="1"/>
    <n v="79.989999999999995"/>
    <n v="159.97999999999999"/>
  </r>
  <r>
    <s v="ORD-7248"/>
    <x v="5"/>
    <s v="PROD-200"/>
    <x v="0"/>
    <x v="2"/>
    <n v="3"/>
    <x v="1"/>
    <s v="Smartphone X"/>
    <x v="0"/>
    <n v="999.99"/>
    <n v="0"/>
  </r>
  <r>
    <s v="ORD-7249"/>
    <x v="2"/>
    <s v="PROD-201"/>
    <x v="4"/>
    <x v="2"/>
    <n v="3"/>
    <x v="2"/>
    <s v="Tablet Air"/>
    <x v="0"/>
    <n v="499.99"/>
    <n v="1499.97"/>
  </r>
  <r>
    <s v="ORD-7250"/>
    <x v="4"/>
    <s v="PROD-202"/>
    <x v="0"/>
    <x v="3"/>
    <n v="4"/>
    <x v="2"/>
    <s v="Wireless Headphones"/>
    <x v="1"/>
    <n v="149.99"/>
    <n v="599.96"/>
  </r>
  <r>
    <s v="ORD-7251"/>
    <x v="1"/>
    <s v="PROD-203"/>
    <x v="0"/>
    <x v="0"/>
    <n v="5"/>
    <x v="0"/>
    <s v="Mechanical Keyboard"/>
    <x v="1"/>
    <n v="89.99"/>
    <n v="449.95"/>
  </r>
  <r>
    <s v="ORD-7252"/>
    <x v="5"/>
    <s v="PROD-202"/>
    <x v="1"/>
    <x v="3"/>
    <n v="1"/>
    <x v="0"/>
    <s v="Wireless Headphones"/>
    <x v="1"/>
    <n v="149.99"/>
    <n v="149.99"/>
  </r>
  <r>
    <s v="ORD-7253"/>
    <x v="3"/>
    <s v="PROD-203"/>
    <x v="1"/>
    <x v="1"/>
    <n v="5"/>
    <x v="0"/>
    <s v="Mechanical Keyboard"/>
    <x v="1"/>
    <n v="89.99"/>
    <n v="449.95"/>
  </r>
  <r>
    <s v="ORD-7254"/>
    <x v="3"/>
    <s v="PROD-204"/>
    <x v="3"/>
    <x v="1"/>
    <n v="1"/>
    <x v="0"/>
    <s v="Gaming Mouse"/>
    <x v="1"/>
    <n v="49.99"/>
    <n v="49.99"/>
  </r>
  <r>
    <s v="ORD-7255"/>
    <x v="4"/>
    <s v="PROD-200"/>
    <x v="4"/>
    <x v="2"/>
    <n v="5"/>
    <x v="1"/>
    <s v="Smartphone X"/>
    <x v="0"/>
    <n v="999.99"/>
    <n v="0"/>
  </r>
  <r>
    <s v="ORD-7256"/>
    <x v="3"/>
    <s v="PROD-205"/>
    <x v="4"/>
    <x v="3"/>
    <n v="5"/>
    <x v="0"/>
    <s v="4K Monitor"/>
    <x v="0"/>
    <n v="349.99"/>
    <n v="1749.95"/>
  </r>
  <r>
    <s v="ORD-7257"/>
    <x v="2"/>
    <s v="PROD-200"/>
    <x v="4"/>
    <x v="3"/>
    <n v="3"/>
    <x v="0"/>
    <s v="Smartphone X"/>
    <x v="0"/>
    <n v="999.99"/>
    <n v="2999.9700000000003"/>
  </r>
  <r>
    <s v="ORD-7258"/>
    <x v="3"/>
    <s v="PROD-200"/>
    <x v="3"/>
    <x v="3"/>
    <n v="3"/>
    <x v="0"/>
    <s v="Smartphone X"/>
    <x v="0"/>
    <n v="999.99"/>
    <n v="2999.9700000000003"/>
  </r>
  <r>
    <s v="ORD-7259"/>
    <x v="3"/>
    <s v="PROD-203"/>
    <x v="4"/>
    <x v="0"/>
    <n v="4"/>
    <x v="0"/>
    <s v="Mechanical Keyboard"/>
    <x v="1"/>
    <n v="89.99"/>
    <n v="359.96"/>
  </r>
  <r>
    <s v="ORD-7260"/>
    <x v="0"/>
    <s v="PROD-200"/>
    <x v="1"/>
    <x v="3"/>
    <n v="1"/>
    <x v="0"/>
    <s v="Smartphone X"/>
    <x v="0"/>
    <n v="999.99"/>
    <n v="999.99"/>
  </r>
  <r>
    <s v="ORD-7261"/>
    <x v="4"/>
    <s v="PROD-203"/>
    <x v="1"/>
    <x v="3"/>
    <n v="1"/>
    <x v="0"/>
    <s v="Mechanical Keyboard"/>
    <x v="1"/>
    <n v="89.99"/>
    <n v="89.99"/>
  </r>
  <r>
    <s v="ORD-7262"/>
    <x v="4"/>
    <s v="PROD-203"/>
    <x v="3"/>
    <x v="0"/>
    <n v="1"/>
    <x v="0"/>
    <s v="Mechanical Keyboard"/>
    <x v="1"/>
    <n v="89.99"/>
    <n v="89.99"/>
  </r>
  <r>
    <s v="ORD-7263"/>
    <x v="2"/>
    <s v="PROD-203"/>
    <x v="2"/>
    <x v="1"/>
    <n v="5"/>
    <x v="0"/>
    <s v="Mechanical Keyboard"/>
    <x v="1"/>
    <n v="89.99"/>
    <n v="449.95"/>
  </r>
  <r>
    <s v="ORD-7264"/>
    <x v="5"/>
    <s v="PROD-203"/>
    <x v="4"/>
    <x v="3"/>
    <n v="4"/>
    <x v="0"/>
    <s v="Mechanical Keyboard"/>
    <x v="1"/>
    <n v="89.99"/>
    <n v="359.96"/>
  </r>
  <r>
    <s v="ORD-7265"/>
    <x v="5"/>
    <s v="PROD-200"/>
    <x v="3"/>
    <x v="2"/>
    <n v="4"/>
    <x v="1"/>
    <s v="Smartphone X"/>
    <x v="0"/>
    <n v="999.99"/>
    <n v="0"/>
  </r>
  <r>
    <s v="ORD-7266"/>
    <x v="2"/>
    <s v="PROD-202"/>
    <x v="0"/>
    <x v="2"/>
    <n v="3"/>
    <x v="0"/>
    <s v="Wireless Headphones"/>
    <x v="1"/>
    <n v="149.99"/>
    <n v="449.97"/>
  </r>
  <r>
    <s v="ORD-7267"/>
    <x v="2"/>
    <s v="PROD-207"/>
    <x v="3"/>
    <x v="0"/>
    <n v="4"/>
    <x v="1"/>
    <s v="Ergonomic Chair"/>
    <x v="2"/>
    <n v="249.99"/>
    <n v="0"/>
  </r>
  <r>
    <s v="ORD-7268"/>
    <x v="4"/>
    <s v="PROD-204"/>
    <x v="4"/>
    <x v="0"/>
    <n v="2"/>
    <x v="0"/>
    <s v="Gaming Mouse"/>
    <x v="1"/>
    <n v="49.99"/>
    <n v="99.98"/>
  </r>
  <r>
    <s v="ORD-7269"/>
    <x v="1"/>
    <s v="PROD-207"/>
    <x v="2"/>
    <x v="3"/>
    <n v="4"/>
    <x v="1"/>
    <s v="Ergonomic Chair"/>
    <x v="2"/>
    <n v="249.99"/>
    <n v="0"/>
  </r>
  <r>
    <s v="ORD-7270"/>
    <x v="3"/>
    <s v="PROD-205"/>
    <x v="0"/>
    <x v="3"/>
    <n v="1"/>
    <x v="0"/>
    <s v="4K Monitor"/>
    <x v="0"/>
    <n v="349.99"/>
    <n v="349.99"/>
  </r>
  <r>
    <s v="ORD-7271"/>
    <x v="0"/>
    <s v="PROD-205"/>
    <x v="1"/>
    <x v="0"/>
    <n v="2"/>
    <x v="1"/>
    <s v="4K Monitor"/>
    <x v="0"/>
    <n v="349.99"/>
    <n v="0"/>
  </r>
  <r>
    <s v="ORD-7272"/>
    <x v="0"/>
    <s v="PROD-205"/>
    <x v="3"/>
    <x v="2"/>
    <n v="4"/>
    <x v="0"/>
    <s v="4K Monitor"/>
    <x v="0"/>
    <n v="349.99"/>
    <n v="1399.96"/>
  </r>
  <r>
    <s v="ORD-7273"/>
    <x v="1"/>
    <s v="PROD-205"/>
    <x v="0"/>
    <x v="1"/>
    <n v="2"/>
    <x v="0"/>
    <s v="4K Monitor"/>
    <x v="0"/>
    <n v="349.99"/>
    <n v="699.98"/>
  </r>
  <r>
    <s v="ORD-7274"/>
    <x v="4"/>
    <s v="PROD-203"/>
    <x v="3"/>
    <x v="1"/>
    <n v="5"/>
    <x v="0"/>
    <s v="Mechanical Keyboard"/>
    <x v="1"/>
    <n v="89.99"/>
    <n v="449.95"/>
  </r>
  <r>
    <s v="ORD-7275"/>
    <x v="0"/>
    <s v="PROD-204"/>
    <x v="2"/>
    <x v="3"/>
    <n v="3"/>
    <x v="0"/>
    <s v="Gaming Mouse"/>
    <x v="1"/>
    <n v="49.99"/>
    <n v="149.97"/>
  </r>
  <r>
    <s v="ORD-7276"/>
    <x v="4"/>
    <s v="PROD-200"/>
    <x v="4"/>
    <x v="2"/>
    <n v="1"/>
    <x v="0"/>
    <s v="Smartphone X"/>
    <x v="0"/>
    <n v="999.99"/>
    <n v="999.99"/>
  </r>
  <r>
    <s v="ORD-7277"/>
    <x v="1"/>
    <s v="PROD-207"/>
    <x v="4"/>
    <x v="2"/>
    <n v="1"/>
    <x v="0"/>
    <s v="Ergonomic Chair"/>
    <x v="2"/>
    <n v="249.99"/>
    <n v="249.99"/>
  </r>
  <r>
    <s v="ORD-7278"/>
    <x v="1"/>
    <s v="PROD-201"/>
    <x v="1"/>
    <x v="1"/>
    <n v="5"/>
    <x v="0"/>
    <s v="Tablet Air"/>
    <x v="0"/>
    <n v="499.99"/>
    <n v="2499.9499999999998"/>
  </r>
  <r>
    <s v="ORD-7279"/>
    <x v="0"/>
    <s v="PROD-202"/>
    <x v="2"/>
    <x v="3"/>
    <n v="2"/>
    <x v="0"/>
    <s v="Wireless Headphones"/>
    <x v="1"/>
    <n v="149.99"/>
    <n v="299.98"/>
  </r>
  <r>
    <s v="ORD-7280"/>
    <x v="5"/>
    <s v="PROD-200"/>
    <x v="0"/>
    <x v="3"/>
    <n v="2"/>
    <x v="0"/>
    <s v="Smartphone X"/>
    <x v="0"/>
    <n v="999.99"/>
    <n v="1999.98"/>
  </r>
  <r>
    <s v="ORD-7281"/>
    <x v="5"/>
    <s v="PROD-203"/>
    <x v="3"/>
    <x v="2"/>
    <n v="4"/>
    <x v="2"/>
    <s v="Mechanical Keyboard"/>
    <x v="1"/>
    <n v="89.99"/>
    <n v="359.96"/>
  </r>
  <r>
    <s v="ORD-7282"/>
    <x v="0"/>
    <s v="PROD-206"/>
    <x v="0"/>
    <x v="1"/>
    <n v="5"/>
    <x v="0"/>
    <s v="Bluetooth Speaker"/>
    <x v="1"/>
    <n v="79.989999999999995"/>
    <n v="399.95"/>
  </r>
  <r>
    <s v="ORD-7283"/>
    <x v="0"/>
    <s v="PROD-204"/>
    <x v="2"/>
    <x v="1"/>
    <n v="4"/>
    <x v="2"/>
    <s v="Gaming Mouse"/>
    <x v="1"/>
    <n v="49.99"/>
    <n v="199.96"/>
  </r>
  <r>
    <s v="ORD-7284"/>
    <x v="2"/>
    <s v="PROD-205"/>
    <x v="2"/>
    <x v="2"/>
    <n v="2"/>
    <x v="0"/>
    <s v="4K Monitor"/>
    <x v="0"/>
    <n v="349.99"/>
    <n v="699.98"/>
  </r>
  <r>
    <s v="ORD-7285"/>
    <x v="5"/>
    <s v="PROD-205"/>
    <x v="2"/>
    <x v="0"/>
    <n v="1"/>
    <x v="1"/>
    <s v="4K Monitor"/>
    <x v="0"/>
    <n v="349.99"/>
    <n v="0"/>
  </r>
  <r>
    <s v="ORD-7286"/>
    <x v="1"/>
    <s v="PROD-202"/>
    <x v="3"/>
    <x v="1"/>
    <n v="1"/>
    <x v="0"/>
    <s v="Wireless Headphones"/>
    <x v="1"/>
    <n v="149.99"/>
    <n v="149.99"/>
  </r>
  <r>
    <s v="ORD-7287"/>
    <x v="4"/>
    <s v="PROD-207"/>
    <x v="1"/>
    <x v="0"/>
    <n v="3"/>
    <x v="2"/>
    <s v="Ergonomic Chair"/>
    <x v="2"/>
    <n v="249.99"/>
    <n v="749.97"/>
  </r>
  <r>
    <s v="ORD-7288"/>
    <x v="4"/>
    <s v="PROD-205"/>
    <x v="3"/>
    <x v="1"/>
    <n v="3"/>
    <x v="1"/>
    <s v="4K Monitor"/>
    <x v="0"/>
    <n v="349.99"/>
    <n v="0"/>
  </r>
  <r>
    <s v="ORD-7289"/>
    <x v="1"/>
    <s v="PROD-204"/>
    <x v="4"/>
    <x v="1"/>
    <n v="1"/>
    <x v="0"/>
    <s v="Gaming Mouse"/>
    <x v="1"/>
    <n v="49.99"/>
    <n v="49.99"/>
  </r>
  <r>
    <s v="ORD-7290"/>
    <x v="4"/>
    <s v="PROD-207"/>
    <x v="2"/>
    <x v="2"/>
    <n v="1"/>
    <x v="1"/>
    <s v="Ergonomic Chair"/>
    <x v="2"/>
    <n v="249.99"/>
    <n v="0"/>
  </r>
  <r>
    <s v="ORD-7291"/>
    <x v="0"/>
    <s v="PROD-207"/>
    <x v="0"/>
    <x v="0"/>
    <n v="2"/>
    <x v="0"/>
    <s v="Ergonomic Chair"/>
    <x v="2"/>
    <n v="249.99"/>
    <n v="499.98"/>
  </r>
  <r>
    <s v="ORD-7292"/>
    <x v="2"/>
    <s v="PROD-200"/>
    <x v="2"/>
    <x v="0"/>
    <n v="2"/>
    <x v="2"/>
    <s v="Smartphone X"/>
    <x v="0"/>
    <n v="999.99"/>
    <n v="1999.98"/>
  </r>
  <r>
    <s v="ORD-7293"/>
    <x v="5"/>
    <s v="PROD-207"/>
    <x v="0"/>
    <x v="2"/>
    <n v="3"/>
    <x v="0"/>
    <s v="Ergonomic Chair"/>
    <x v="2"/>
    <n v="249.99"/>
    <n v="749.97"/>
  </r>
  <r>
    <s v="ORD-7294"/>
    <x v="0"/>
    <s v="PROD-200"/>
    <x v="0"/>
    <x v="3"/>
    <n v="4"/>
    <x v="0"/>
    <s v="Smartphone X"/>
    <x v="0"/>
    <n v="999.99"/>
    <n v="3999.96"/>
  </r>
  <r>
    <s v="ORD-7295"/>
    <x v="1"/>
    <s v="PROD-204"/>
    <x v="1"/>
    <x v="0"/>
    <n v="3"/>
    <x v="0"/>
    <s v="Gaming Mouse"/>
    <x v="1"/>
    <n v="49.99"/>
    <n v="149.97"/>
  </r>
  <r>
    <s v="ORD-7296"/>
    <x v="0"/>
    <s v="PROD-201"/>
    <x v="3"/>
    <x v="1"/>
    <n v="3"/>
    <x v="0"/>
    <s v="Tablet Air"/>
    <x v="0"/>
    <n v="499.99"/>
    <n v="1499.97"/>
  </r>
  <r>
    <s v="ORD-7297"/>
    <x v="2"/>
    <s v="PROD-205"/>
    <x v="4"/>
    <x v="0"/>
    <n v="5"/>
    <x v="2"/>
    <s v="4K Monitor"/>
    <x v="0"/>
    <n v="349.99"/>
    <n v="1749.95"/>
  </r>
  <r>
    <s v="ORD-7298"/>
    <x v="5"/>
    <s v="PROD-201"/>
    <x v="2"/>
    <x v="0"/>
    <n v="3"/>
    <x v="0"/>
    <s v="Tablet Air"/>
    <x v="0"/>
    <n v="499.99"/>
    <n v="1499.97"/>
  </r>
  <r>
    <s v="ORD-7299"/>
    <x v="0"/>
    <s v="PROD-200"/>
    <x v="1"/>
    <x v="3"/>
    <n v="4"/>
    <x v="0"/>
    <s v="Smartphone X"/>
    <x v="0"/>
    <n v="999.99"/>
    <n v="3999.96"/>
  </r>
  <r>
    <s v="ORD-7300"/>
    <x v="5"/>
    <s v="PROD-206"/>
    <x v="1"/>
    <x v="3"/>
    <n v="2"/>
    <x v="0"/>
    <s v="Bluetooth Speaker"/>
    <x v="1"/>
    <n v="79.989999999999995"/>
    <n v="159.97999999999999"/>
  </r>
  <r>
    <s v="ORD-7301"/>
    <x v="1"/>
    <s v="PROD-205"/>
    <x v="4"/>
    <x v="3"/>
    <n v="5"/>
    <x v="0"/>
    <s v="4K Monitor"/>
    <x v="0"/>
    <n v="349.99"/>
    <n v="1749.95"/>
  </r>
  <r>
    <s v="ORD-7302"/>
    <x v="3"/>
    <s v="PROD-200"/>
    <x v="3"/>
    <x v="3"/>
    <n v="4"/>
    <x v="0"/>
    <s v="Smartphone X"/>
    <x v="0"/>
    <n v="999.99"/>
    <n v="3999.96"/>
  </r>
  <r>
    <s v="ORD-7303"/>
    <x v="2"/>
    <s v="PROD-202"/>
    <x v="3"/>
    <x v="0"/>
    <n v="1"/>
    <x v="1"/>
    <s v="Wireless Headphones"/>
    <x v="1"/>
    <n v="149.99"/>
    <n v="0"/>
  </r>
  <r>
    <s v="ORD-7304"/>
    <x v="1"/>
    <s v="PROD-205"/>
    <x v="0"/>
    <x v="1"/>
    <n v="4"/>
    <x v="0"/>
    <s v="4K Monitor"/>
    <x v="0"/>
    <n v="349.99"/>
    <n v="1399.96"/>
  </r>
  <r>
    <s v="ORD-7305"/>
    <x v="0"/>
    <s v="PROD-205"/>
    <x v="2"/>
    <x v="0"/>
    <n v="3"/>
    <x v="0"/>
    <s v="4K Monitor"/>
    <x v="0"/>
    <n v="349.99"/>
    <n v="1049.97"/>
  </r>
  <r>
    <s v="ORD-7306"/>
    <x v="2"/>
    <s v="PROD-205"/>
    <x v="0"/>
    <x v="2"/>
    <n v="2"/>
    <x v="1"/>
    <s v="4K Monitor"/>
    <x v="0"/>
    <n v="349.99"/>
    <n v="0"/>
  </r>
  <r>
    <s v="ORD-7307"/>
    <x v="3"/>
    <s v="PROD-205"/>
    <x v="0"/>
    <x v="3"/>
    <n v="2"/>
    <x v="0"/>
    <s v="4K Monitor"/>
    <x v="0"/>
    <n v="349.99"/>
    <n v="699.98"/>
  </r>
  <r>
    <s v="ORD-7308"/>
    <x v="3"/>
    <s v="PROD-204"/>
    <x v="2"/>
    <x v="3"/>
    <n v="5"/>
    <x v="1"/>
    <s v="Gaming Mouse"/>
    <x v="1"/>
    <n v="49.99"/>
    <n v="0"/>
  </r>
  <r>
    <s v="ORD-7309"/>
    <x v="4"/>
    <s v="PROD-205"/>
    <x v="0"/>
    <x v="2"/>
    <n v="1"/>
    <x v="0"/>
    <s v="4K Monitor"/>
    <x v="0"/>
    <n v="349.99"/>
    <n v="349.99"/>
  </r>
  <r>
    <s v="ORD-7310"/>
    <x v="0"/>
    <s v="PROD-204"/>
    <x v="2"/>
    <x v="1"/>
    <n v="4"/>
    <x v="0"/>
    <s v="Gaming Mouse"/>
    <x v="1"/>
    <n v="49.99"/>
    <n v="199.96"/>
  </r>
  <r>
    <s v="ORD-7311"/>
    <x v="3"/>
    <s v="PROD-206"/>
    <x v="1"/>
    <x v="1"/>
    <n v="3"/>
    <x v="0"/>
    <s v="Bluetooth Speaker"/>
    <x v="1"/>
    <n v="79.989999999999995"/>
    <n v="239.96999999999997"/>
  </r>
  <r>
    <s v="ORD-7312"/>
    <x v="4"/>
    <s v="PROD-202"/>
    <x v="0"/>
    <x v="1"/>
    <n v="1"/>
    <x v="1"/>
    <s v="Wireless Headphones"/>
    <x v="1"/>
    <n v="149.99"/>
    <n v="0"/>
  </r>
  <r>
    <s v="ORD-7313"/>
    <x v="5"/>
    <s v="PROD-203"/>
    <x v="0"/>
    <x v="2"/>
    <n v="4"/>
    <x v="0"/>
    <s v="Mechanical Keyboard"/>
    <x v="1"/>
    <n v="89.99"/>
    <n v="359.96"/>
  </r>
  <r>
    <s v="ORD-7314"/>
    <x v="5"/>
    <s v="PROD-204"/>
    <x v="4"/>
    <x v="1"/>
    <n v="5"/>
    <x v="0"/>
    <s v="Gaming Mouse"/>
    <x v="1"/>
    <n v="49.99"/>
    <n v="249.95000000000002"/>
  </r>
  <r>
    <s v="ORD-7315"/>
    <x v="3"/>
    <s v="PROD-201"/>
    <x v="3"/>
    <x v="2"/>
    <n v="3"/>
    <x v="1"/>
    <s v="Tablet Air"/>
    <x v="0"/>
    <n v="499.99"/>
    <n v="0"/>
  </r>
  <r>
    <s v="ORD-7316"/>
    <x v="2"/>
    <s v="PROD-201"/>
    <x v="1"/>
    <x v="0"/>
    <n v="2"/>
    <x v="1"/>
    <s v="Tablet Air"/>
    <x v="0"/>
    <n v="499.99"/>
    <n v="0"/>
  </r>
  <r>
    <s v="ORD-7317"/>
    <x v="5"/>
    <s v="PROD-207"/>
    <x v="1"/>
    <x v="0"/>
    <n v="4"/>
    <x v="0"/>
    <s v="Ergonomic Chair"/>
    <x v="2"/>
    <n v="249.99"/>
    <n v="999.96"/>
  </r>
  <r>
    <s v="ORD-7318"/>
    <x v="2"/>
    <s v="PROD-201"/>
    <x v="3"/>
    <x v="2"/>
    <n v="2"/>
    <x v="1"/>
    <s v="Tablet Air"/>
    <x v="0"/>
    <n v="499.99"/>
    <n v="0"/>
  </r>
  <r>
    <s v="ORD-7319"/>
    <x v="4"/>
    <s v="PROD-201"/>
    <x v="1"/>
    <x v="2"/>
    <n v="3"/>
    <x v="1"/>
    <s v="Tablet Air"/>
    <x v="0"/>
    <n v="499.99"/>
    <n v="0"/>
  </r>
  <r>
    <s v="ORD-7320"/>
    <x v="5"/>
    <s v="PROD-203"/>
    <x v="0"/>
    <x v="2"/>
    <n v="4"/>
    <x v="1"/>
    <s v="Mechanical Keyboard"/>
    <x v="1"/>
    <n v="89.99"/>
    <n v="0"/>
  </r>
  <r>
    <s v="ORD-7321"/>
    <x v="3"/>
    <s v="PROD-201"/>
    <x v="4"/>
    <x v="1"/>
    <n v="2"/>
    <x v="0"/>
    <s v="Tablet Air"/>
    <x v="0"/>
    <n v="499.99"/>
    <n v="999.98"/>
  </r>
  <r>
    <s v="ORD-7322"/>
    <x v="2"/>
    <s v="PROD-205"/>
    <x v="1"/>
    <x v="0"/>
    <n v="2"/>
    <x v="0"/>
    <s v="4K Monitor"/>
    <x v="0"/>
    <n v="349.99"/>
    <n v="699.98"/>
  </r>
  <r>
    <s v="ORD-7323"/>
    <x v="4"/>
    <s v="PROD-206"/>
    <x v="4"/>
    <x v="2"/>
    <n v="1"/>
    <x v="0"/>
    <s v="Bluetooth Speaker"/>
    <x v="1"/>
    <n v="79.989999999999995"/>
    <n v="79.989999999999995"/>
  </r>
  <r>
    <s v="ORD-7324"/>
    <x v="0"/>
    <s v="PROD-205"/>
    <x v="3"/>
    <x v="2"/>
    <n v="1"/>
    <x v="0"/>
    <s v="4K Monitor"/>
    <x v="0"/>
    <n v="349.99"/>
    <n v="349.99"/>
  </r>
  <r>
    <s v="ORD-7325"/>
    <x v="4"/>
    <s v="PROD-203"/>
    <x v="4"/>
    <x v="3"/>
    <n v="2"/>
    <x v="0"/>
    <s v="Mechanical Keyboard"/>
    <x v="1"/>
    <n v="89.99"/>
    <n v="179.98"/>
  </r>
  <r>
    <s v="ORD-7326"/>
    <x v="1"/>
    <s v="PROD-203"/>
    <x v="2"/>
    <x v="0"/>
    <n v="2"/>
    <x v="2"/>
    <s v="Mechanical Keyboard"/>
    <x v="1"/>
    <n v="89.99"/>
    <n v="179.98"/>
  </r>
  <r>
    <s v="ORD-7327"/>
    <x v="1"/>
    <s v="PROD-200"/>
    <x v="3"/>
    <x v="0"/>
    <n v="4"/>
    <x v="1"/>
    <s v="Smartphone X"/>
    <x v="0"/>
    <n v="999.99"/>
    <n v="0"/>
  </r>
  <r>
    <s v="ORD-7328"/>
    <x v="2"/>
    <s v="PROD-202"/>
    <x v="2"/>
    <x v="0"/>
    <n v="5"/>
    <x v="1"/>
    <s v="Wireless Headphones"/>
    <x v="1"/>
    <n v="149.99"/>
    <n v="0"/>
  </r>
  <r>
    <s v="ORD-7329"/>
    <x v="3"/>
    <s v="PROD-204"/>
    <x v="3"/>
    <x v="0"/>
    <n v="2"/>
    <x v="1"/>
    <s v="Gaming Mouse"/>
    <x v="1"/>
    <n v="49.99"/>
    <n v="0"/>
  </r>
  <r>
    <s v="ORD-7330"/>
    <x v="0"/>
    <s v="PROD-206"/>
    <x v="1"/>
    <x v="2"/>
    <n v="4"/>
    <x v="1"/>
    <s v="Bluetooth Speaker"/>
    <x v="1"/>
    <n v="79.989999999999995"/>
    <n v="0"/>
  </r>
  <r>
    <s v="ORD-7331"/>
    <x v="3"/>
    <s v="PROD-202"/>
    <x v="3"/>
    <x v="1"/>
    <n v="1"/>
    <x v="0"/>
    <s v="Wireless Headphones"/>
    <x v="1"/>
    <n v="149.99"/>
    <n v="149.99"/>
  </r>
  <r>
    <s v="ORD-7332"/>
    <x v="3"/>
    <s v="PROD-200"/>
    <x v="2"/>
    <x v="3"/>
    <n v="2"/>
    <x v="1"/>
    <s v="Smartphone X"/>
    <x v="0"/>
    <n v="999.99"/>
    <n v="0"/>
  </r>
  <r>
    <s v="ORD-7333"/>
    <x v="4"/>
    <s v="PROD-205"/>
    <x v="1"/>
    <x v="0"/>
    <n v="2"/>
    <x v="1"/>
    <s v="4K Monitor"/>
    <x v="0"/>
    <n v="349.99"/>
    <n v="0"/>
  </r>
  <r>
    <s v="ORD-7334"/>
    <x v="2"/>
    <s v="PROD-205"/>
    <x v="3"/>
    <x v="2"/>
    <n v="1"/>
    <x v="0"/>
    <s v="4K Monitor"/>
    <x v="0"/>
    <n v="349.99"/>
    <n v="349.99"/>
  </r>
  <r>
    <s v="ORD-7335"/>
    <x v="1"/>
    <s v="PROD-203"/>
    <x v="2"/>
    <x v="2"/>
    <n v="2"/>
    <x v="1"/>
    <s v="Mechanical Keyboard"/>
    <x v="1"/>
    <n v="89.99"/>
    <n v="0"/>
  </r>
  <r>
    <s v="ORD-7336"/>
    <x v="2"/>
    <s v="PROD-206"/>
    <x v="4"/>
    <x v="3"/>
    <n v="2"/>
    <x v="2"/>
    <s v="Bluetooth Speaker"/>
    <x v="1"/>
    <n v="79.989999999999995"/>
    <n v="159.97999999999999"/>
  </r>
  <r>
    <s v="ORD-7337"/>
    <x v="4"/>
    <s v="PROD-204"/>
    <x v="3"/>
    <x v="0"/>
    <n v="3"/>
    <x v="0"/>
    <s v="Gaming Mouse"/>
    <x v="1"/>
    <n v="49.99"/>
    <n v="149.97"/>
  </r>
  <r>
    <s v="ORD-7338"/>
    <x v="1"/>
    <s v="PROD-207"/>
    <x v="2"/>
    <x v="0"/>
    <n v="2"/>
    <x v="1"/>
    <s v="Ergonomic Chair"/>
    <x v="2"/>
    <n v="249.99"/>
    <n v="0"/>
  </r>
  <r>
    <s v="ORD-7339"/>
    <x v="0"/>
    <s v="PROD-202"/>
    <x v="4"/>
    <x v="2"/>
    <n v="2"/>
    <x v="2"/>
    <s v="Wireless Headphones"/>
    <x v="1"/>
    <n v="149.99"/>
    <n v="299.98"/>
  </r>
  <r>
    <s v="ORD-7340"/>
    <x v="3"/>
    <s v="PROD-202"/>
    <x v="0"/>
    <x v="2"/>
    <n v="5"/>
    <x v="0"/>
    <s v="Wireless Headphones"/>
    <x v="1"/>
    <n v="149.99"/>
    <n v="749.95"/>
  </r>
  <r>
    <s v="ORD-7341"/>
    <x v="5"/>
    <s v="PROD-200"/>
    <x v="2"/>
    <x v="0"/>
    <n v="4"/>
    <x v="0"/>
    <s v="Smartphone X"/>
    <x v="0"/>
    <n v="999.99"/>
    <n v="3999.96"/>
  </r>
  <r>
    <s v="ORD-7342"/>
    <x v="0"/>
    <s v="PROD-200"/>
    <x v="3"/>
    <x v="2"/>
    <n v="2"/>
    <x v="2"/>
    <s v="Smartphone X"/>
    <x v="0"/>
    <n v="999.99"/>
    <n v="1999.98"/>
  </r>
  <r>
    <s v="ORD-7343"/>
    <x v="1"/>
    <s v="PROD-202"/>
    <x v="3"/>
    <x v="2"/>
    <n v="3"/>
    <x v="0"/>
    <s v="Wireless Headphones"/>
    <x v="1"/>
    <n v="149.99"/>
    <n v="449.97"/>
  </r>
  <r>
    <s v="ORD-7344"/>
    <x v="1"/>
    <s v="PROD-200"/>
    <x v="3"/>
    <x v="0"/>
    <n v="5"/>
    <x v="0"/>
    <s v="Smartphone X"/>
    <x v="0"/>
    <n v="999.99"/>
    <n v="4999.95"/>
  </r>
  <r>
    <s v="ORD-7345"/>
    <x v="3"/>
    <s v="PROD-204"/>
    <x v="1"/>
    <x v="2"/>
    <n v="2"/>
    <x v="2"/>
    <s v="Gaming Mouse"/>
    <x v="1"/>
    <n v="49.99"/>
    <n v="99.98"/>
  </r>
  <r>
    <s v="ORD-7346"/>
    <x v="0"/>
    <s v="PROD-205"/>
    <x v="4"/>
    <x v="1"/>
    <n v="4"/>
    <x v="0"/>
    <s v="4K Monitor"/>
    <x v="0"/>
    <n v="349.99"/>
    <n v="1399.96"/>
  </r>
  <r>
    <s v="ORD-7347"/>
    <x v="1"/>
    <s v="PROD-207"/>
    <x v="2"/>
    <x v="2"/>
    <n v="1"/>
    <x v="0"/>
    <s v="Ergonomic Chair"/>
    <x v="2"/>
    <n v="249.99"/>
    <n v="249.99"/>
  </r>
  <r>
    <s v="ORD-7348"/>
    <x v="4"/>
    <s v="PROD-202"/>
    <x v="4"/>
    <x v="3"/>
    <n v="5"/>
    <x v="0"/>
    <s v="Wireless Headphones"/>
    <x v="1"/>
    <n v="149.99"/>
    <n v="749.95"/>
  </r>
  <r>
    <s v="ORD-7349"/>
    <x v="4"/>
    <s v="PROD-200"/>
    <x v="1"/>
    <x v="3"/>
    <n v="5"/>
    <x v="1"/>
    <s v="Smartphone X"/>
    <x v="0"/>
    <n v="999.99"/>
    <n v="0"/>
  </r>
  <r>
    <s v="ORD-7350"/>
    <x v="5"/>
    <s v="PROD-202"/>
    <x v="0"/>
    <x v="3"/>
    <n v="5"/>
    <x v="0"/>
    <s v="Wireless Headphones"/>
    <x v="1"/>
    <n v="149.99"/>
    <n v="749.95"/>
  </r>
  <r>
    <s v="ORD-7351"/>
    <x v="4"/>
    <s v="PROD-204"/>
    <x v="3"/>
    <x v="1"/>
    <n v="3"/>
    <x v="0"/>
    <s v="Gaming Mouse"/>
    <x v="1"/>
    <n v="49.99"/>
    <n v="149.97"/>
  </r>
  <r>
    <s v="ORD-7352"/>
    <x v="3"/>
    <s v="PROD-205"/>
    <x v="4"/>
    <x v="1"/>
    <n v="3"/>
    <x v="1"/>
    <s v="4K Monitor"/>
    <x v="0"/>
    <n v="349.99"/>
    <n v="0"/>
  </r>
  <r>
    <s v="ORD-7353"/>
    <x v="2"/>
    <s v="PROD-204"/>
    <x v="1"/>
    <x v="3"/>
    <n v="5"/>
    <x v="0"/>
    <s v="Gaming Mouse"/>
    <x v="1"/>
    <n v="49.99"/>
    <n v="249.95000000000002"/>
  </r>
  <r>
    <s v="ORD-7354"/>
    <x v="1"/>
    <s v="PROD-203"/>
    <x v="0"/>
    <x v="0"/>
    <n v="2"/>
    <x v="0"/>
    <s v="Mechanical Keyboard"/>
    <x v="1"/>
    <n v="89.99"/>
    <n v="179.98"/>
  </r>
  <r>
    <s v="ORD-7355"/>
    <x v="2"/>
    <s v="PROD-205"/>
    <x v="3"/>
    <x v="0"/>
    <n v="2"/>
    <x v="0"/>
    <s v="4K Monitor"/>
    <x v="0"/>
    <n v="349.99"/>
    <n v="699.98"/>
  </r>
  <r>
    <s v="ORD-7356"/>
    <x v="1"/>
    <s v="PROD-203"/>
    <x v="2"/>
    <x v="0"/>
    <n v="3"/>
    <x v="0"/>
    <s v="Mechanical Keyboard"/>
    <x v="1"/>
    <n v="89.99"/>
    <n v="269.96999999999997"/>
  </r>
  <r>
    <s v="ORD-7357"/>
    <x v="5"/>
    <s v="PROD-200"/>
    <x v="3"/>
    <x v="0"/>
    <n v="3"/>
    <x v="0"/>
    <s v="Smartphone X"/>
    <x v="0"/>
    <n v="999.99"/>
    <n v="2999.9700000000003"/>
  </r>
  <r>
    <s v="ORD-7358"/>
    <x v="4"/>
    <s v="PROD-203"/>
    <x v="1"/>
    <x v="0"/>
    <n v="2"/>
    <x v="0"/>
    <s v="Mechanical Keyboard"/>
    <x v="1"/>
    <n v="89.99"/>
    <n v="179.98"/>
  </r>
  <r>
    <s v="ORD-7359"/>
    <x v="5"/>
    <s v="PROD-204"/>
    <x v="2"/>
    <x v="0"/>
    <n v="1"/>
    <x v="0"/>
    <s v="Gaming Mouse"/>
    <x v="1"/>
    <n v="49.99"/>
    <n v="49.99"/>
  </r>
  <r>
    <s v="ORD-7360"/>
    <x v="2"/>
    <s v="PROD-206"/>
    <x v="3"/>
    <x v="2"/>
    <n v="2"/>
    <x v="0"/>
    <s v="Bluetooth Speaker"/>
    <x v="1"/>
    <n v="79.989999999999995"/>
    <n v="159.97999999999999"/>
  </r>
  <r>
    <s v="ORD-7361"/>
    <x v="3"/>
    <s v="PROD-201"/>
    <x v="0"/>
    <x v="2"/>
    <n v="5"/>
    <x v="2"/>
    <s v="Tablet Air"/>
    <x v="0"/>
    <n v="499.99"/>
    <n v="2499.9499999999998"/>
  </r>
  <r>
    <s v="ORD-7362"/>
    <x v="5"/>
    <s v="PROD-201"/>
    <x v="2"/>
    <x v="1"/>
    <n v="3"/>
    <x v="1"/>
    <s v="Tablet Air"/>
    <x v="0"/>
    <n v="499.99"/>
    <n v="0"/>
  </r>
  <r>
    <s v="ORD-7363"/>
    <x v="5"/>
    <s v="PROD-202"/>
    <x v="3"/>
    <x v="0"/>
    <n v="3"/>
    <x v="0"/>
    <s v="Wireless Headphones"/>
    <x v="1"/>
    <n v="149.99"/>
    <n v="449.97"/>
  </r>
  <r>
    <s v="ORD-7364"/>
    <x v="3"/>
    <s v="PROD-200"/>
    <x v="1"/>
    <x v="0"/>
    <n v="3"/>
    <x v="0"/>
    <s v="Smartphone X"/>
    <x v="0"/>
    <n v="999.99"/>
    <n v="2999.9700000000003"/>
  </r>
  <r>
    <s v="ORD-7365"/>
    <x v="5"/>
    <s v="PROD-203"/>
    <x v="3"/>
    <x v="1"/>
    <n v="4"/>
    <x v="1"/>
    <s v="Mechanical Keyboard"/>
    <x v="1"/>
    <n v="89.99"/>
    <n v="0"/>
  </r>
  <r>
    <s v="ORD-7366"/>
    <x v="1"/>
    <s v="PROD-205"/>
    <x v="0"/>
    <x v="1"/>
    <n v="4"/>
    <x v="0"/>
    <s v="4K Monitor"/>
    <x v="0"/>
    <n v="349.99"/>
    <n v="1399.96"/>
  </r>
  <r>
    <s v="ORD-7367"/>
    <x v="1"/>
    <s v="PROD-207"/>
    <x v="2"/>
    <x v="3"/>
    <n v="2"/>
    <x v="1"/>
    <s v="Ergonomic Chair"/>
    <x v="2"/>
    <n v="249.99"/>
    <n v="0"/>
  </r>
  <r>
    <s v="ORD-7368"/>
    <x v="1"/>
    <s v="PROD-206"/>
    <x v="1"/>
    <x v="0"/>
    <n v="4"/>
    <x v="2"/>
    <s v="Bluetooth Speaker"/>
    <x v="1"/>
    <n v="79.989999999999995"/>
    <n v="319.95999999999998"/>
  </r>
  <r>
    <s v="ORD-7369"/>
    <x v="2"/>
    <s v="PROD-205"/>
    <x v="2"/>
    <x v="1"/>
    <n v="3"/>
    <x v="0"/>
    <s v="4K Monitor"/>
    <x v="0"/>
    <n v="349.99"/>
    <n v="1049.97"/>
  </r>
  <r>
    <s v="ORD-7370"/>
    <x v="3"/>
    <s v="PROD-202"/>
    <x v="3"/>
    <x v="1"/>
    <n v="4"/>
    <x v="0"/>
    <s v="Wireless Headphones"/>
    <x v="1"/>
    <n v="149.99"/>
    <n v="599.96"/>
  </r>
  <r>
    <s v="ORD-7371"/>
    <x v="3"/>
    <s v="PROD-203"/>
    <x v="0"/>
    <x v="3"/>
    <n v="4"/>
    <x v="0"/>
    <s v="Mechanical Keyboard"/>
    <x v="1"/>
    <n v="89.99"/>
    <n v="359.96"/>
  </r>
  <r>
    <s v="ORD-7372"/>
    <x v="2"/>
    <s v="PROD-203"/>
    <x v="4"/>
    <x v="1"/>
    <n v="2"/>
    <x v="1"/>
    <s v="Mechanical Keyboard"/>
    <x v="1"/>
    <n v="89.99"/>
    <n v="0"/>
  </r>
  <r>
    <s v="ORD-7373"/>
    <x v="5"/>
    <s v="PROD-206"/>
    <x v="4"/>
    <x v="2"/>
    <n v="5"/>
    <x v="1"/>
    <s v="Bluetooth Speaker"/>
    <x v="1"/>
    <n v="79.989999999999995"/>
    <n v="0"/>
  </r>
  <r>
    <s v="ORD-7374"/>
    <x v="0"/>
    <s v="PROD-207"/>
    <x v="2"/>
    <x v="2"/>
    <n v="4"/>
    <x v="0"/>
    <s v="Ergonomic Chair"/>
    <x v="2"/>
    <n v="249.99"/>
    <n v="999.96"/>
  </r>
  <r>
    <s v="ORD-7375"/>
    <x v="1"/>
    <s v="PROD-204"/>
    <x v="1"/>
    <x v="0"/>
    <n v="2"/>
    <x v="2"/>
    <s v="Gaming Mouse"/>
    <x v="1"/>
    <n v="49.99"/>
    <n v="99.98"/>
  </r>
  <r>
    <s v="ORD-7376"/>
    <x v="4"/>
    <s v="PROD-206"/>
    <x v="1"/>
    <x v="3"/>
    <n v="1"/>
    <x v="2"/>
    <s v="Bluetooth Speaker"/>
    <x v="1"/>
    <n v="79.989999999999995"/>
    <n v="79.989999999999995"/>
  </r>
  <r>
    <s v="ORD-7377"/>
    <x v="5"/>
    <s v="PROD-203"/>
    <x v="3"/>
    <x v="3"/>
    <n v="4"/>
    <x v="1"/>
    <s v="Mechanical Keyboard"/>
    <x v="1"/>
    <n v="89.99"/>
    <n v="0"/>
  </r>
  <r>
    <s v="ORD-7378"/>
    <x v="1"/>
    <s v="PROD-207"/>
    <x v="4"/>
    <x v="3"/>
    <n v="2"/>
    <x v="0"/>
    <s v="Ergonomic Chair"/>
    <x v="2"/>
    <n v="249.99"/>
    <n v="499.98"/>
  </r>
  <r>
    <s v="ORD-7379"/>
    <x v="2"/>
    <s v="PROD-203"/>
    <x v="4"/>
    <x v="2"/>
    <n v="2"/>
    <x v="1"/>
    <s v="Mechanical Keyboard"/>
    <x v="1"/>
    <n v="89.99"/>
    <n v="0"/>
  </r>
  <r>
    <s v="ORD-7380"/>
    <x v="2"/>
    <s v="PROD-204"/>
    <x v="1"/>
    <x v="1"/>
    <n v="3"/>
    <x v="0"/>
    <s v="Gaming Mouse"/>
    <x v="1"/>
    <n v="49.99"/>
    <n v="149.97"/>
  </r>
  <r>
    <s v="ORD-7381"/>
    <x v="2"/>
    <s v="PROD-200"/>
    <x v="2"/>
    <x v="0"/>
    <n v="2"/>
    <x v="0"/>
    <s v="Smartphone X"/>
    <x v="0"/>
    <n v="999.99"/>
    <n v="1999.98"/>
  </r>
  <r>
    <s v="ORD-7382"/>
    <x v="1"/>
    <s v="PROD-203"/>
    <x v="2"/>
    <x v="0"/>
    <n v="4"/>
    <x v="0"/>
    <s v="Mechanical Keyboard"/>
    <x v="1"/>
    <n v="89.99"/>
    <n v="359.96"/>
  </r>
  <r>
    <s v="ORD-7383"/>
    <x v="4"/>
    <s v="PROD-205"/>
    <x v="4"/>
    <x v="1"/>
    <n v="1"/>
    <x v="0"/>
    <s v="4K Monitor"/>
    <x v="0"/>
    <n v="349.99"/>
    <n v="349.99"/>
  </r>
  <r>
    <s v="ORD-7384"/>
    <x v="3"/>
    <s v="PROD-207"/>
    <x v="3"/>
    <x v="1"/>
    <n v="2"/>
    <x v="0"/>
    <s v="Ergonomic Chair"/>
    <x v="2"/>
    <n v="249.99"/>
    <n v="499.98"/>
  </r>
  <r>
    <s v="ORD-7385"/>
    <x v="4"/>
    <s v="PROD-203"/>
    <x v="2"/>
    <x v="2"/>
    <n v="1"/>
    <x v="0"/>
    <s v="Mechanical Keyboard"/>
    <x v="1"/>
    <n v="89.99"/>
    <n v="89.99"/>
  </r>
  <r>
    <s v="ORD-7386"/>
    <x v="5"/>
    <s v="PROD-201"/>
    <x v="3"/>
    <x v="0"/>
    <n v="3"/>
    <x v="1"/>
    <s v="Tablet Air"/>
    <x v="0"/>
    <n v="499.99"/>
    <n v="0"/>
  </r>
  <r>
    <s v="ORD-7387"/>
    <x v="0"/>
    <s v="PROD-200"/>
    <x v="2"/>
    <x v="2"/>
    <n v="3"/>
    <x v="0"/>
    <s v="Smartphone X"/>
    <x v="0"/>
    <n v="999.99"/>
    <n v="2999.9700000000003"/>
  </r>
  <r>
    <s v="ORD-7388"/>
    <x v="1"/>
    <s v="PROD-202"/>
    <x v="2"/>
    <x v="3"/>
    <n v="1"/>
    <x v="1"/>
    <s v="Wireless Headphones"/>
    <x v="1"/>
    <n v="149.99"/>
    <n v="0"/>
  </r>
  <r>
    <s v="ORD-7389"/>
    <x v="4"/>
    <s v="PROD-200"/>
    <x v="2"/>
    <x v="3"/>
    <n v="4"/>
    <x v="0"/>
    <s v="Smartphone X"/>
    <x v="0"/>
    <n v="999.99"/>
    <n v="3999.96"/>
  </r>
  <r>
    <s v="ORD-7390"/>
    <x v="1"/>
    <s v="PROD-203"/>
    <x v="1"/>
    <x v="3"/>
    <n v="5"/>
    <x v="0"/>
    <s v="Mechanical Keyboard"/>
    <x v="1"/>
    <n v="89.99"/>
    <n v="449.95"/>
  </r>
  <r>
    <s v="ORD-7391"/>
    <x v="5"/>
    <s v="PROD-204"/>
    <x v="4"/>
    <x v="0"/>
    <n v="5"/>
    <x v="2"/>
    <s v="Gaming Mouse"/>
    <x v="1"/>
    <n v="49.99"/>
    <n v="249.95000000000002"/>
  </r>
  <r>
    <s v="ORD-7392"/>
    <x v="3"/>
    <s v="PROD-206"/>
    <x v="0"/>
    <x v="1"/>
    <n v="2"/>
    <x v="2"/>
    <s v="Bluetooth Speaker"/>
    <x v="1"/>
    <n v="79.989999999999995"/>
    <n v="159.97999999999999"/>
  </r>
  <r>
    <s v="ORD-7393"/>
    <x v="1"/>
    <s v="PROD-200"/>
    <x v="1"/>
    <x v="0"/>
    <n v="4"/>
    <x v="0"/>
    <s v="Smartphone X"/>
    <x v="0"/>
    <n v="999.99"/>
    <n v="3999.96"/>
  </r>
  <r>
    <s v="ORD-7394"/>
    <x v="0"/>
    <s v="PROD-201"/>
    <x v="3"/>
    <x v="2"/>
    <n v="4"/>
    <x v="0"/>
    <s v="Tablet Air"/>
    <x v="0"/>
    <n v="499.99"/>
    <n v="1999.96"/>
  </r>
  <r>
    <s v="ORD-7395"/>
    <x v="5"/>
    <s v="PROD-201"/>
    <x v="1"/>
    <x v="2"/>
    <n v="4"/>
    <x v="0"/>
    <s v="Tablet Air"/>
    <x v="0"/>
    <n v="499.99"/>
    <n v="1999.96"/>
  </r>
  <r>
    <s v="ORD-7396"/>
    <x v="2"/>
    <s v="PROD-202"/>
    <x v="1"/>
    <x v="3"/>
    <n v="2"/>
    <x v="0"/>
    <s v="Wireless Headphones"/>
    <x v="1"/>
    <n v="149.99"/>
    <n v="299.98"/>
  </r>
  <r>
    <s v="ORD-7397"/>
    <x v="5"/>
    <s v="PROD-200"/>
    <x v="0"/>
    <x v="3"/>
    <n v="1"/>
    <x v="2"/>
    <s v="Smartphone X"/>
    <x v="0"/>
    <n v="999.99"/>
    <n v="999.99"/>
  </r>
  <r>
    <s v="ORD-7398"/>
    <x v="3"/>
    <s v="PROD-203"/>
    <x v="3"/>
    <x v="2"/>
    <n v="5"/>
    <x v="0"/>
    <s v="Mechanical Keyboard"/>
    <x v="1"/>
    <n v="89.99"/>
    <n v="449.95"/>
  </r>
  <r>
    <s v="ORD-7399"/>
    <x v="1"/>
    <s v="PROD-201"/>
    <x v="4"/>
    <x v="3"/>
    <n v="2"/>
    <x v="0"/>
    <s v="Tablet Air"/>
    <x v="0"/>
    <n v="499.99"/>
    <n v="999.98"/>
  </r>
  <r>
    <s v="ORD-7400"/>
    <x v="0"/>
    <s v="PROD-201"/>
    <x v="4"/>
    <x v="1"/>
    <n v="3"/>
    <x v="2"/>
    <s v="Tablet Air"/>
    <x v="0"/>
    <n v="499.99"/>
    <n v="1499.97"/>
  </r>
  <r>
    <s v="ORD-7401"/>
    <x v="5"/>
    <s v="PROD-201"/>
    <x v="0"/>
    <x v="2"/>
    <n v="2"/>
    <x v="0"/>
    <s v="Tablet Air"/>
    <x v="0"/>
    <n v="499.99"/>
    <n v="999.98"/>
  </r>
  <r>
    <s v="ORD-7402"/>
    <x v="3"/>
    <s v="PROD-201"/>
    <x v="4"/>
    <x v="1"/>
    <n v="5"/>
    <x v="2"/>
    <s v="Tablet Air"/>
    <x v="0"/>
    <n v="499.99"/>
    <n v="2499.9499999999998"/>
  </r>
  <r>
    <s v="ORD-7403"/>
    <x v="1"/>
    <s v="PROD-201"/>
    <x v="1"/>
    <x v="0"/>
    <n v="4"/>
    <x v="0"/>
    <s v="Tablet Air"/>
    <x v="0"/>
    <n v="499.99"/>
    <n v="1999.96"/>
  </r>
  <r>
    <s v="ORD-7404"/>
    <x v="2"/>
    <s v="PROD-200"/>
    <x v="4"/>
    <x v="0"/>
    <n v="2"/>
    <x v="0"/>
    <s v="Smartphone X"/>
    <x v="0"/>
    <n v="999.99"/>
    <n v="1999.98"/>
  </r>
  <r>
    <s v="ORD-7405"/>
    <x v="0"/>
    <s v="PROD-204"/>
    <x v="1"/>
    <x v="0"/>
    <n v="5"/>
    <x v="0"/>
    <s v="Gaming Mouse"/>
    <x v="1"/>
    <n v="49.99"/>
    <n v="249.95000000000002"/>
  </r>
  <r>
    <s v="ORD-7406"/>
    <x v="5"/>
    <s v="PROD-205"/>
    <x v="3"/>
    <x v="1"/>
    <n v="4"/>
    <x v="0"/>
    <s v="4K Monitor"/>
    <x v="0"/>
    <n v="349.99"/>
    <n v="1399.96"/>
  </r>
  <r>
    <s v="ORD-7407"/>
    <x v="2"/>
    <s v="PROD-205"/>
    <x v="0"/>
    <x v="0"/>
    <n v="5"/>
    <x v="0"/>
    <s v="4K Monitor"/>
    <x v="0"/>
    <n v="349.99"/>
    <n v="1749.95"/>
  </r>
  <r>
    <s v="ORD-7408"/>
    <x v="3"/>
    <s v="PROD-202"/>
    <x v="3"/>
    <x v="3"/>
    <n v="4"/>
    <x v="0"/>
    <s v="Wireless Headphones"/>
    <x v="1"/>
    <n v="149.99"/>
    <n v="599.96"/>
  </r>
  <r>
    <s v="ORD-7409"/>
    <x v="1"/>
    <s v="PROD-207"/>
    <x v="3"/>
    <x v="1"/>
    <n v="5"/>
    <x v="0"/>
    <s v="Ergonomic Chair"/>
    <x v="2"/>
    <n v="249.99"/>
    <n v="1249.95"/>
  </r>
  <r>
    <s v="ORD-7410"/>
    <x v="1"/>
    <s v="PROD-206"/>
    <x v="1"/>
    <x v="0"/>
    <n v="3"/>
    <x v="0"/>
    <s v="Bluetooth Speaker"/>
    <x v="1"/>
    <n v="79.989999999999995"/>
    <n v="239.96999999999997"/>
  </r>
  <r>
    <s v="ORD-7411"/>
    <x v="0"/>
    <s v="PROD-200"/>
    <x v="1"/>
    <x v="1"/>
    <n v="3"/>
    <x v="2"/>
    <s v="Smartphone X"/>
    <x v="0"/>
    <n v="999.99"/>
    <n v="2999.9700000000003"/>
  </r>
  <r>
    <s v="ORD-7412"/>
    <x v="4"/>
    <s v="PROD-206"/>
    <x v="4"/>
    <x v="2"/>
    <n v="3"/>
    <x v="0"/>
    <s v="Bluetooth Speaker"/>
    <x v="1"/>
    <n v="79.989999999999995"/>
    <n v="239.96999999999997"/>
  </r>
  <r>
    <s v="ORD-7413"/>
    <x v="4"/>
    <s v="PROD-202"/>
    <x v="2"/>
    <x v="3"/>
    <n v="3"/>
    <x v="0"/>
    <s v="Wireless Headphones"/>
    <x v="1"/>
    <n v="149.99"/>
    <n v="449.97"/>
  </r>
  <r>
    <s v="ORD-7414"/>
    <x v="4"/>
    <s v="PROD-207"/>
    <x v="0"/>
    <x v="0"/>
    <n v="4"/>
    <x v="0"/>
    <s v="Ergonomic Chair"/>
    <x v="2"/>
    <n v="249.99"/>
    <n v="999.96"/>
  </r>
  <r>
    <s v="ORD-7415"/>
    <x v="2"/>
    <s v="PROD-203"/>
    <x v="2"/>
    <x v="0"/>
    <n v="5"/>
    <x v="0"/>
    <s v="Mechanical Keyboard"/>
    <x v="1"/>
    <n v="89.99"/>
    <n v="449.95"/>
  </r>
  <r>
    <s v="ORD-7416"/>
    <x v="3"/>
    <s v="PROD-207"/>
    <x v="3"/>
    <x v="0"/>
    <n v="2"/>
    <x v="0"/>
    <s v="Ergonomic Chair"/>
    <x v="2"/>
    <n v="249.99"/>
    <n v="499.98"/>
  </r>
  <r>
    <s v="ORD-7417"/>
    <x v="2"/>
    <s v="PROD-205"/>
    <x v="2"/>
    <x v="3"/>
    <n v="3"/>
    <x v="0"/>
    <s v="4K Monitor"/>
    <x v="0"/>
    <n v="349.99"/>
    <n v="1049.97"/>
  </r>
  <r>
    <s v="ORD-7418"/>
    <x v="0"/>
    <s v="PROD-201"/>
    <x v="2"/>
    <x v="1"/>
    <n v="5"/>
    <x v="0"/>
    <s v="Tablet Air"/>
    <x v="0"/>
    <n v="499.99"/>
    <n v="2499.9499999999998"/>
  </r>
  <r>
    <s v="ORD-7419"/>
    <x v="3"/>
    <s v="PROD-205"/>
    <x v="0"/>
    <x v="2"/>
    <n v="4"/>
    <x v="2"/>
    <s v="4K Monitor"/>
    <x v="0"/>
    <n v="349.99"/>
    <n v="1399.96"/>
  </r>
  <r>
    <s v="ORD-7420"/>
    <x v="4"/>
    <s v="PROD-202"/>
    <x v="3"/>
    <x v="3"/>
    <n v="2"/>
    <x v="0"/>
    <s v="Wireless Headphones"/>
    <x v="1"/>
    <n v="149.99"/>
    <n v="299.98"/>
  </r>
  <r>
    <s v="ORD-7421"/>
    <x v="1"/>
    <s v="PROD-204"/>
    <x v="4"/>
    <x v="0"/>
    <n v="3"/>
    <x v="0"/>
    <s v="Gaming Mouse"/>
    <x v="1"/>
    <n v="49.99"/>
    <n v="149.97"/>
  </r>
  <r>
    <s v="ORD-7422"/>
    <x v="1"/>
    <s v="PROD-204"/>
    <x v="4"/>
    <x v="1"/>
    <n v="3"/>
    <x v="0"/>
    <s v="Gaming Mouse"/>
    <x v="1"/>
    <n v="49.99"/>
    <n v="149.97"/>
  </r>
  <r>
    <s v="ORD-7423"/>
    <x v="3"/>
    <s v="PROD-200"/>
    <x v="1"/>
    <x v="0"/>
    <n v="1"/>
    <x v="0"/>
    <s v="Smartphone X"/>
    <x v="0"/>
    <n v="999.99"/>
    <n v="999.99"/>
  </r>
  <r>
    <s v="ORD-7424"/>
    <x v="4"/>
    <s v="PROD-203"/>
    <x v="1"/>
    <x v="1"/>
    <n v="1"/>
    <x v="1"/>
    <s v="Mechanical Keyboard"/>
    <x v="1"/>
    <n v="89.99"/>
    <n v="0"/>
  </r>
  <r>
    <s v="ORD-7425"/>
    <x v="2"/>
    <s v="PROD-203"/>
    <x v="1"/>
    <x v="2"/>
    <n v="3"/>
    <x v="0"/>
    <s v="Mechanical Keyboard"/>
    <x v="1"/>
    <n v="89.99"/>
    <n v="269.96999999999997"/>
  </r>
  <r>
    <s v="ORD-7426"/>
    <x v="4"/>
    <s v="PROD-200"/>
    <x v="3"/>
    <x v="0"/>
    <n v="4"/>
    <x v="0"/>
    <s v="Smartphone X"/>
    <x v="0"/>
    <n v="999.99"/>
    <n v="3999.96"/>
  </r>
  <r>
    <s v="ORD-7427"/>
    <x v="4"/>
    <s v="PROD-205"/>
    <x v="2"/>
    <x v="2"/>
    <n v="4"/>
    <x v="0"/>
    <s v="4K Monitor"/>
    <x v="0"/>
    <n v="349.99"/>
    <n v="1399.96"/>
  </r>
  <r>
    <s v="ORD-7428"/>
    <x v="3"/>
    <s v="PROD-203"/>
    <x v="2"/>
    <x v="1"/>
    <n v="4"/>
    <x v="1"/>
    <s v="Mechanical Keyboard"/>
    <x v="1"/>
    <n v="89.99"/>
    <n v="0"/>
  </r>
  <r>
    <s v="ORD-7429"/>
    <x v="0"/>
    <s v="PROD-207"/>
    <x v="0"/>
    <x v="1"/>
    <n v="1"/>
    <x v="1"/>
    <s v="Ergonomic Chair"/>
    <x v="2"/>
    <n v="249.99"/>
    <n v="0"/>
  </r>
  <r>
    <s v="ORD-7430"/>
    <x v="0"/>
    <s v="PROD-201"/>
    <x v="0"/>
    <x v="3"/>
    <n v="4"/>
    <x v="0"/>
    <s v="Tablet Air"/>
    <x v="0"/>
    <n v="499.99"/>
    <n v="1999.96"/>
  </r>
  <r>
    <s v="ORD-7431"/>
    <x v="3"/>
    <s v="PROD-204"/>
    <x v="4"/>
    <x v="1"/>
    <n v="2"/>
    <x v="0"/>
    <s v="Gaming Mouse"/>
    <x v="1"/>
    <n v="49.99"/>
    <n v="99.98"/>
  </r>
  <r>
    <s v="ORD-7432"/>
    <x v="3"/>
    <s v="PROD-206"/>
    <x v="1"/>
    <x v="3"/>
    <n v="1"/>
    <x v="0"/>
    <s v="Bluetooth Speaker"/>
    <x v="1"/>
    <n v="79.989999999999995"/>
    <n v="79.989999999999995"/>
  </r>
  <r>
    <s v="ORD-7433"/>
    <x v="4"/>
    <s v="PROD-203"/>
    <x v="2"/>
    <x v="3"/>
    <n v="2"/>
    <x v="0"/>
    <s v="Mechanical Keyboard"/>
    <x v="1"/>
    <n v="89.99"/>
    <n v="179.98"/>
  </r>
  <r>
    <s v="ORD-7434"/>
    <x v="1"/>
    <s v="PROD-201"/>
    <x v="2"/>
    <x v="1"/>
    <n v="2"/>
    <x v="1"/>
    <s v="Tablet Air"/>
    <x v="0"/>
    <n v="499.99"/>
    <n v="0"/>
  </r>
  <r>
    <s v="ORD-7435"/>
    <x v="2"/>
    <s v="PROD-200"/>
    <x v="1"/>
    <x v="3"/>
    <n v="1"/>
    <x v="1"/>
    <s v="Smartphone X"/>
    <x v="0"/>
    <n v="999.99"/>
    <n v="0"/>
  </r>
  <r>
    <s v="ORD-7436"/>
    <x v="5"/>
    <s v="PROD-202"/>
    <x v="4"/>
    <x v="2"/>
    <n v="4"/>
    <x v="2"/>
    <s v="Wireless Headphones"/>
    <x v="1"/>
    <n v="149.99"/>
    <n v="599.96"/>
  </r>
  <r>
    <s v="ORD-7437"/>
    <x v="4"/>
    <s v="PROD-207"/>
    <x v="4"/>
    <x v="0"/>
    <n v="5"/>
    <x v="0"/>
    <s v="Ergonomic Chair"/>
    <x v="2"/>
    <n v="249.99"/>
    <n v="1249.95"/>
  </r>
  <r>
    <s v="ORD-7438"/>
    <x v="4"/>
    <s v="PROD-201"/>
    <x v="1"/>
    <x v="1"/>
    <n v="3"/>
    <x v="0"/>
    <s v="Tablet Air"/>
    <x v="0"/>
    <n v="499.99"/>
    <n v="1499.97"/>
  </r>
  <r>
    <s v="ORD-7439"/>
    <x v="5"/>
    <s v="PROD-202"/>
    <x v="2"/>
    <x v="2"/>
    <n v="4"/>
    <x v="0"/>
    <s v="Wireless Headphones"/>
    <x v="1"/>
    <n v="149.99"/>
    <n v="599.96"/>
  </r>
  <r>
    <s v="ORD-7440"/>
    <x v="4"/>
    <s v="PROD-203"/>
    <x v="2"/>
    <x v="3"/>
    <n v="2"/>
    <x v="0"/>
    <s v="Mechanical Keyboard"/>
    <x v="1"/>
    <n v="89.99"/>
    <n v="179.98"/>
  </r>
  <r>
    <s v="ORD-7441"/>
    <x v="3"/>
    <s v="PROD-202"/>
    <x v="3"/>
    <x v="3"/>
    <n v="2"/>
    <x v="0"/>
    <s v="Wireless Headphones"/>
    <x v="1"/>
    <n v="149.99"/>
    <n v="299.98"/>
  </r>
  <r>
    <s v="ORD-7442"/>
    <x v="0"/>
    <s v="PROD-202"/>
    <x v="4"/>
    <x v="1"/>
    <n v="2"/>
    <x v="1"/>
    <s v="Wireless Headphones"/>
    <x v="1"/>
    <n v="149.99"/>
    <n v="0"/>
  </r>
  <r>
    <s v="ORD-7443"/>
    <x v="4"/>
    <s v="PROD-206"/>
    <x v="2"/>
    <x v="2"/>
    <n v="1"/>
    <x v="0"/>
    <s v="Bluetooth Speaker"/>
    <x v="1"/>
    <n v="79.989999999999995"/>
    <n v="79.989999999999995"/>
  </r>
  <r>
    <s v="ORD-7444"/>
    <x v="2"/>
    <s v="PROD-201"/>
    <x v="4"/>
    <x v="2"/>
    <n v="3"/>
    <x v="1"/>
    <s v="Tablet Air"/>
    <x v="0"/>
    <n v="499.99"/>
    <n v="0"/>
  </r>
  <r>
    <s v="ORD-7445"/>
    <x v="1"/>
    <s v="PROD-204"/>
    <x v="1"/>
    <x v="1"/>
    <n v="1"/>
    <x v="1"/>
    <s v="Gaming Mouse"/>
    <x v="1"/>
    <n v="49.99"/>
    <n v="0"/>
  </r>
  <r>
    <s v="ORD-7446"/>
    <x v="2"/>
    <s v="PROD-201"/>
    <x v="3"/>
    <x v="1"/>
    <n v="2"/>
    <x v="0"/>
    <s v="Tablet Air"/>
    <x v="0"/>
    <n v="499.99"/>
    <n v="999.98"/>
  </r>
  <r>
    <s v="ORD-7447"/>
    <x v="1"/>
    <s v="PROD-203"/>
    <x v="4"/>
    <x v="2"/>
    <n v="4"/>
    <x v="1"/>
    <s v="Mechanical Keyboard"/>
    <x v="1"/>
    <n v="89.99"/>
    <n v="0"/>
  </r>
  <r>
    <s v="ORD-7448"/>
    <x v="5"/>
    <s v="PROD-203"/>
    <x v="4"/>
    <x v="2"/>
    <n v="3"/>
    <x v="2"/>
    <s v="Mechanical Keyboard"/>
    <x v="1"/>
    <n v="89.99"/>
    <n v="269.96999999999997"/>
  </r>
  <r>
    <s v="ORD-7449"/>
    <x v="5"/>
    <s v="PROD-200"/>
    <x v="0"/>
    <x v="0"/>
    <n v="1"/>
    <x v="0"/>
    <s v="Smartphone X"/>
    <x v="0"/>
    <n v="999.99"/>
    <n v="999.99"/>
  </r>
  <r>
    <s v="ORD-7450"/>
    <x v="3"/>
    <s v="PROD-207"/>
    <x v="2"/>
    <x v="3"/>
    <n v="3"/>
    <x v="2"/>
    <s v="Ergonomic Chair"/>
    <x v="2"/>
    <n v="249.99"/>
    <n v="749.97"/>
  </r>
  <r>
    <s v="ORD-7451"/>
    <x v="4"/>
    <s v="PROD-207"/>
    <x v="2"/>
    <x v="0"/>
    <n v="1"/>
    <x v="2"/>
    <s v="Ergonomic Chair"/>
    <x v="2"/>
    <n v="249.99"/>
    <n v="249.99"/>
  </r>
  <r>
    <s v="ORD-7452"/>
    <x v="5"/>
    <s v="PROD-204"/>
    <x v="3"/>
    <x v="2"/>
    <n v="2"/>
    <x v="2"/>
    <s v="Gaming Mouse"/>
    <x v="1"/>
    <n v="49.99"/>
    <n v="99.98"/>
  </r>
  <r>
    <s v="ORD-7453"/>
    <x v="0"/>
    <s v="PROD-204"/>
    <x v="3"/>
    <x v="3"/>
    <n v="3"/>
    <x v="0"/>
    <s v="Gaming Mouse"/>
    <x v="1"/>
    <n v="49.99"/>
    <n v="149.97"/>
  </r>
  <r>
    <s v="ORD-7454"/>
    <x v="0"/>
    <s v="PROD-207"/>
    <x v="2"/>
    <x v="1"/>
    <n v="3"/>
    <x v="0"/>
    <s v="Ergonomic Chair"/>
    <x v="2"/>
    <n v="249.99"/>
    <n v="749.97"/>
  </r>
  <r>
    <s v="ORD-7455"/>
    <x v="2"/>
    <s v="PROD-202"/>
    <x v="2"/>
    <x v="0"/>
    <n v="3"/>
    <x v="1"/>
    <s v="Wireless Headphones"/>
    <x v="1"/>
    <n v="149.99"/>
    <n v="0"/>
  </r>
  <r>
    <s v="ORD-7456"/>
    <x v="5"/>
    <s v="PROD-207"/>
    <x v="1"/>
    <x v="2"/>
    <n v="4"/>
    <x v="2"/>
    <s v="Ergonomic Chair"/>
    <x v="2"/>
    <n v="249.99"/>
    <n v="999.96"/>
  </r>
  <r>
    <s v="ORD-7457"/>
    <x v="1"/>
    <s v="PROD-205"/>
    <x v="4"/>
    <x v="3"/>
    <n v="3"/>
    <x v="0"/>
    <s v="4K Monitor"/>
    <x v="0"/>
    <n v="349.99"/>
    <n v="1049.97"/>
  </r>
  <r>
    <s v="ORD-7458"/>
    <x v="1"/>
    <s v="PROD-207"/>
    <x v="2"/>
    <x v="2"/>
    <n v="5"/>
    <x v="0"/>
    <s v="Ergonomic Chair"/>
    <x v="2"/>
    <n v="249.99"/>
    <n v="1249.95"/>
  </r>
  <r>
    <s v="ORD-7459"/>
    <x v="2"/>
    <s v="PROD-203"/>
    <x v="2"/>
    <x v="3"/>
    <n v="3"/>
    <x v="2"/>
    <s v="Mechanical Keyboard"/>
    <x v="1"/>
    <n v="89.99"/>
    <n v="269.96999999999997"/>
  </r>
  <r>
    <s v="ORD-7460"/>
    <x v="0"/>
    <s v="PROD-201"/>
    <x v="3"/>
    <x v="0"/>
    <n v="1"/>
    <x v="0"/>
    <s v="Tablet Air"/>
    <x v="0"/>
    <n v="499.99"/>
    <n v="499.99"/>
  </r>
  <r>
    <s v="ORD-7461"/>
    <x v="3"/>
    <s v="PROD-202"/>
    <x v="0"/>
    <x v="3"/>
    <n v="4"/>
    <x v="2"/>
    <s v="Wireless Headphones"/>
    <x v="1"/>
    <n v="149.99"/>
    <n v="599.96"/>
  </r>
  <r>
    <s v="ORD-7462"/>
    <x v="1"/>
    <s v="PROD-201"/>
    <x v="4"/>
    <x v="2"/>
    <n v="1"/>
    <x v="0"/>
    <s v="Tablet Air"/>
    <x v="0"/>
    <n v="499.99"/>
    <n v="499.99"/>
  </r>
  <r>
    <s v="ORD-7463"/>
    <x v="1"/>
    <s v="PROD-201"/>
    <x v="4"/>
    <x v="2"/>
    <n v="5"/>
    <x v="0"/>
    <s v="Tablet Air"/>
    <x v="0"/>
    <n v="499.99"/>
    <n v="2499.9499999999998"/>
  </r>
  <r>
    <s v="ORD-7464"/>
    <x v="5"/>
    <s v="PROD-202"/>
    <x v="2"/>
    <x v="1"/>
    <n v="3"/>
    <x v="0"/>
    <s v="Wireless Headphones"/>
    <x v="1"/>
    <n v="149.99"/>
    <n v="449.97"/>
  </r>
  <r>
    <s v="ORD-7465"/>
    <x v="4"/>
    <s v="PROD-203"/>
    <x v="3"/>
    <x v="0"/>
    <n v="5"/>
    <x v="0"/>
    <s v="Mechanical Keyboard"/>
    <x v="1"/>
    <n v="89.99"/>
    <n v="449.95"/>
  </r>
  <r>
    <s v="ORD-7466"/>
    <x v="1"/>
    <s v="PROD-202"/>
    <x v="1"/>
    <x v="2"/>
    <n v="3"/>
    <x v="1"/>
    <s v="Wireless Headphones"/>
    <x v="1"/>
    <n v="149.99"/>
    <n v="0"/>
  </r>
  <r>
    <s v="ORD-7467"/>
    <x v="2"/>
    <s v="PROD-206"/>
    <x v="3"/>
    <x v="3"/>
    <n v="4"/>
    <x v="2"/>
    <s v="Bluetooth Speaker"/>
    <x v="1"/>
    <n v="79.989999999999995"/>
    <n v="319.95999999999998"/>
  </r>
  <r>
    <s v="ORD-7468"/>
    <x v="3"/>
    <s v="PROD-204"/>
    <x v="1"/>
    <x v="3"/>
    <n v="4"/>
    <x v="0"/>
    <s v="Gaming Mouse"/>
    <x v="1"/>
    <n v="49.99"/>
    <n v="199.96"/>
  </r>
  <r>
    <s v="ORD-7469"/>
    <x v="0"/>
    <s v="PROD-200"/>
    <x v="0"/>
    <x v="0"/>
    <n v="2"/>
    <x v="0"/>
    <s v="Smartphone X"/>
    <x v="0"/>
    <n v="999.99"/>
    <n v="1999.98"/>
  </r>
  <r>
    <s v="ORD-7470"/>
    <x v="3"/>
    <s v="PROD-204"/>
    <x v="4"/>
    <x v="1"/>
    <n v="4"/>
    <x v="2"/>
    <s v="Gaming Mouse"/>
    <x v="1"/>
    <n v="49.99"/>
    <n v="199.96"/>
  </r>
  <r>
    <s v="ORD-7471"/>
    <x v="2"/>
    <s v="PROD-206"/>
    <x v="3"/>
    <x v="3"/>
    <n v="2"/>
    <x v="0"/>
    <s v="Bluetooth Speaker"/>
    <x v="1"/>
    <n v="79.989999999999995"/>
    <n v="159.97999999999999"/>
  </r>
  <r>
    <s v="ORD-7472"/>
    <x v="3"/>
    <s v="PROD-202"/>
    <x v="2"/>
    <x v="3"/>
    <n v="1"/>
    <x v="0"/>
    <s v="Wireless Headphones"/>
    <x v="1"/>
    <n v="149.99"/>
    <n v="149.99"/>
  </r>
  <r>
    <s v="ORD-7473"/>
    <x v="1"/>
    <s v="PROD-205"/>
    <x v="1"/>
    <x v="1"/>
    <n v="4"/>
    <x v="1"/>
    <s v="4K Monitor"/>
    <x v="0"/>
    <n v="349.99"/>
    <n v="0"/>
  </r>
  <r>
    <s v="ORD-7474"/>
    <x v="1"/>
    <s v="PROD-200"/>
    <x v="4"/>
    <x v="2"/>
    <n v="4"/>
    <x v="0"/>
    <s v="Smartphone X"/>
    <x v="0"/>
    <n v="999.99"/>
    <n v="3999.96"/>
  </r>
  <r>
    <s v="ORD-7475"/>
    <x v="1"/>
    <s v="PROD-201"/>
    <x v="1"/>
    <x v="2"/>
    <n v="5"/>
    <x v="1"/>
    <s v="Tablet Air"/>
    <x v="0"/>
    <n v="499.99"/>
    <n v="0"/>
  </r>
  <r>
    <s v="ORD-7476"/>
    <x v="5"/>
    <s v="PROD-203"/>
    <x v="4"/>
    <x v="1"/>
    <n v="3"/>
    <x v="0"/>
    <s v="Mechanical Keyboard"/>
    <x v="1"/>
    <n v="89.99"/>
    <n v="269.96999999999997"/>
  </r>
  <r>
    <s v="ORD-7477"/>
    <x v="4"/>
    <s v="PROD-204"/>
    <x v="4"/>
    <x v="3"/>
    <n v="3"/>
    <x v="0"/>
    <s v="Gaming Mouse"/>
    <x v="1"/>
    <n v="49.99"/>
    <n v="149.97"/>
  </r>
  <r>
    <s v="ORD-7478"/>
    <x v="3"/>
    <s v="PROD-205"/>
    <x v="1"/>
    <x v="2"/>
    <n v="5"/>
    <x v="0"/>
    <s v="4K Monitor"/>
    <x v="0"/>
    <n v="349.99"/>
    <n v="1749.95"/>
  </r>
  <r>
    <s v="ORD-7479"/>
    <x v="4"/>
    <s v="PROD-202"/>
    <x v="1"/>
    <x v="2"/>
    <n v="4"/>
    <x v="2"/>
    <s v="Wireless Headphones"/>
    <x v="1"/>
    <n v="149.99"/>
    <n v="599.96"/>
  </r>
  <r>
    <s v="ORD-7480"/>
    <x v="1"/>
    <s v="PROD-202"/>
    <x v="4"/>
    <x v="3"/>
    <n v="3"/>
    <x v="0"/>
    <s v="Wireless Headphones"/>
    <x v="1"/>
    <n v="149.99"/>
    <n v="449.97"/>
  </r>
  <r>
    <s v="ORD-7481"/>
    <x v="2"/>
    <s v="PROD-207"/>
    <x v="3"/>
    <x v="2"/>
    <n v="4"/>
    <x v="2"/>
    <s v="Ergonomic Chair"/>
    <x v="2"/>
    <n v="249.99"/>
    <n v="999.96"/>
  </r>
  <r>
    <s v="ORD-7482"/>
    <x v="0"/>
    <s v="PROD-205"/>
    <x v="4"/>
    <x v="1"/>
    <n v="3"/>
    <x v="0"/>
    <s v="4K Monitor"/>
    <x v="0"/>
    <n v="349.99"/>
    <n v="1049.97"/>
  </r>
  <r>
    <s v="ORD-7483"/>
    <x v="1"/>
    <s v="PROD-207"/>
    <x v="0"/>
    <x v="3"/>
    <n v="4"/>
    <x v="0"/>
    <s v="Ergonomic Chair"/>
    <x v="2"/>
    <n v="249.99"/>
    <n v="999.96"/>
  </r>
  <r>
    <s v="ORD-7484"/>
    <x v="3"/>
    <s v="PROD-202"/>
    <x v="4"/>
    <x v="2"/>
    <n v="3"/>
    <x v="2"/>
    <s v="Wireless Headphones"/>
    <x v="1"/>
    <n v="149.99"/>
    <n v="449.97"/>
  </r>
  <r>
    <s v="ORD-7485"/>
    <x v="5"/>
    <s v="PROD-205"/>
    <x v="2"/>
    <x v="1"/>
    <n v="3"/>
    <x v="0"/>
    <s v="4K Monitor"/>
    <x v="0"/>
    <n v="349.99"/>
    <n v="1049.97"/>
  </r>
  <r>
    <s v="ORD-7486"/>
    <x v="3"/>
    <s v="PROD-205"/>
    <x v="1"/>
    <x v="1"/>
    <n v="2"/>
    <x v="0"/>
    <s v="4K Monitor"/>
    <x v="0"/>
    <n v="349.99"/>
    <n v="699.98"/>
  </r>
  <r>
    <s v="ORD-7487"/>
    <x v="2"/>
    <s v="PROD-203"/>
    <x v="2"/>
    <x v="0"/>
    <n v="2"/>
    <x v="2"/>
    <s v="Mechanical Keyboard"/>
    <x v="1"/>
    <n v="89.99"/>
    <n v="179.98"/>
  </r>
  <r>
    <s v="ORD-7488"/>
    <x v="0"/>
    <s v="PROD-203"/>
    <x v="0"/>
    <x v="0"/>
    <n v="4"/>
    <x v="0"/>
    <s v="Mechanical Keyboard"/>
    <x v="1"/>
    <n v="89.99"/>
    <n v="359.96"/>
  </r>
  <r>
    <s v="ORD-7489"/>
    <x v="0"/>
    <s v="PROD-204"/>
    <x v="0"/>
    <x v="2"/>
    <n v="2"/>
    <x v="0"/>
    <s v="Gaming Mouse"/>
    <x v="1"/>
    <n v="49.99"/>
    <n v="99.98"/>
  </r>
  <r>
    <s v="ORD-7490"/>
    <x v="3"/>
    <s v="PROD-204"/>
    <x v="4"/>
    <x v="3"/>
    <n v="2"/>
    <x v="0"/>
    <s v="Gaming Mouse"/>
    <x v="1"/>
    <n v="49.99"/>
    <n v="99.98"/>
  </r>
  <r>
    <s v="ORD-7491"/>
    <x v="1"/>
    <s v="PROD-203"/>
    <x v="3"/>
    <x v="1"/>
    <n v="4"/>
    <x v="0"/>
    <s v="Mechanical Keyboard"/>
    <x v="1"/>
    <n v="89.99"/>
    <n v="359.96"/>
  </r>
  <r>
    <s v="ORD-7492"/>
    <x v="2"/>
    <s v="PROD-201"/>
    <x v="2"/>
    <x v="2"/>
    <n v="4"/>
    <x v="2"/>
    <s v="Tablet Air"/>
    <x v="0"/>
    <n v="499.99"/>
    <n v="1999.96"/>
  </r>
  <r>
    <s v="ORD-7493"/>
    <x v="1"/>
    <s v="PROD-207"/>
    <x v="0"/>
    <x v="1"/>
    <n v="3"/>
    <x v="0"/>
    <s v="Ergonomic Chair"/>
    <x v="2"/>
    <n v="249.99"/>
    <n v="749.97"/>
  </r>
  <r>
    <s v="ORD-7494"/>
    <x v="4"/>
    <s v="PROD-202"/>
    <x v="1"/>
    <x v="0"/>
    <n v="2"/>
    <x v="1"/>
    <s v="Wireless Headphones"/>
    <x v="1"/>
    <n v="149.99"/>
    <n v="0"/>
  </r>
  <r>
    <s v="ORD-7495"/>
    <x v="0"/>
    <s v="PROD-207"/>
    <x v="3"/>
    <x v="0"/>
    <n v="2"/>
    <x v="2"/>
    <s v="Ergonomic Chair"/>
    <x v="2"/>
    <n v="249.99"/>
    <n v="499.98"/>
  </r>
  <r>
    <s v="ORD-7496"/>
    <x v="1"/>
    <s v="PROD-204"/>
    <x v="1"/>
    <x v="2"/>
    <n v="5"/>
    <x v="0"/>
    <s v="Gaming Mouse"/>
    <x v="1"/>
    <n v="49.99"/>
    <n v="249.95000000000002"/>
  </r>
  <r>
    <s v="ORD-7497"/>
    <x v="0"/>
    <s v="PROD-204"/>
    <x v="4"/>
    <x v="2"/>
    <n v="5"/>
    <x v="0"/>
    <s v="Gaming Mouse"/>
    <x v="1"/>
    <n v="49.99"/>
    <n v="249.95000000000002"/>
  </r>
  <r>
    <s v="ORD-7498"/>
    <x v="2"/>
    <s v="PROD-207"/>
    <x v="2"/>
    <x v="0"/>
    <n v="3"/>
    <x v="0"/>
    <s v="Ergonomic Chair"/>
    <x v="2"/>
    <n v="249.99"/>
    <n v="749.97"/>
  </r>
  <r>
    <s v="ORD-7499"/>
    <x v="3"/>
    <s v="PROD-202"/>
    <x v="3"/>
    <x v="1"/>
    <n v="4"/>
    <x v="0"/>
    <s v="Wireless Headphones"/>
    <x v="1"/>
    <n v="149.99"/>
    <n v="599.96"/>
  </r>
  <r>
    <s v="ORD-7500"/>
    <x v="4"/>
    <s v="PROD-203"/>
    <x v="1"/>
    <x v="3"/>
    <n v="3"/>
    <x v="0"/>
    <s v="Mechanical Keyboard"/>
    <x v="1"/>
    <n v="89.99"/>
    <n v="269.96999999999997"/>
  </r>
  <r>
    <s v="ORD-7501"/>
    <x v="2"/>
    <s v="PROD-204"/>
    <x v="3"/>
    <x v="2"/>
    <n v="2"/>
    <x v="0"/>
    <s v="Gaming Mouse"/>
    <x v="1"/>
    <n v="49.99"/>
    <n v="99.98"/>
  </r>
  <r>
    <s v="ORD-7502"/>
    <x v="1"/>
    <s v="PROD-200"/>
    <x v="1"/>
    <x v="2"/>
    <n v="1"/>
    <x v="1"/>
    <s v="Smartphone X"/>
    <x v="0"/>
    <n v="999.99"/>
    <n v="0"/>
  </r>
  <r>
    <s v="ORD-7503"/>
    <x v="1"/>
    <s v="PROD-207"/>
    <x v="2"/>
    <x v="3"/>
    <n v="1"/>
    <x v="0"/>
    <s v="Ergonomic Chair"/>
    <x v="2"/>
    <n v="249.99"/>
    <n v="249.99"/>
  </r>
  <r>
    <s v="ORD-7504"/>
    <x v="5"/>
    <s v="PROD-204"/>
    <x v="1"/>
    <x v="3"/>
    <n v="3"/>
    <x v="1"/>
    <s v="Gaming Mouse"/>
    <x v="1"/>
    <n v="49.99"/>
    <n v="0"/>
  </r>
  <r>
    <s v="ORD-7505"/>
    <x v="2"/>
    <s v="PROD-200"/>
    <x v="0"/>
    <x v="3"/>
    <n v="1"/>
    <x v="1"/>
    <s v="Smartphone X"/>
    <x v="0"/>
    <n v="999.99"/>
    <n v="0"/>
  </r>
  <r>
    <s v="ORD-7506"/>
    <x v="0"/>
    <s v="PROD-205"/>
    <x v="3"/>
    <x v="0"/>
    <n v="3"/>
    <x v="1"/>
    <s v="4K Monitor"/>
    <x v="0"/>
    <n v="349.99"/>
    <n v="0"/>
  </r>
  <r>
    <s v="ORD-7507"/>
    <x v="1"/>
    <s v="PROD-200"/>
    <x v="0"/>
    <x v="1"/>
    <n v="1"/>
    <x v="1"/>
    <s v="Smartphone X"/>
    <x v="0"/>
    <n v="999.99"/>
    <n v="0"/>
  </r>
  <r>
    <s v="ORD-7508"/>
    <x v="5"/>
    <s v="PROD-206"/>
    <x v="4"/>
    <x v="3"/>
    <n v="2"/>
    <x v="0"/>
    <s v="Bluetooth Speaker"/>
    <x v="1"/>
    <n v="79.989999999999995"/>
    <n v="159.97999999999999"/>
  </r>
  <r>
    <s v="ORD-7509"/>
    <x v="3"/>
    <s v="PROD-202"/>
    <x v="0"/>
    <x v="2"/>
    <n v="5"/>
    <x v="0"/>
    <s v="Wireless Headphones"/>
    <x v="1"/>
    <n v="149.99"/>
    <n v="749.95"/>
  </r>
  <r>
    <s v="ORD-7510"/>
    <x v="0"/>
    <s v="PROD-204"/>
    <x v="1"/>
    <x v="1"/>
    <n v="4"/>
    <x v="2"/>
    <s v="Gaming Mouse"/>
    <x v="1"/>
    <n v="49.99"/>
    <n v="199.96"/>
  </r>
  <r>
    <s v="ORD-7511"/>
    <x v="2"/>
    <s v="PROD-201"/>
    <x v="1"/>
    <x v="3"/>
    <n v="1"/>
    <x v="1"/>
    <s v="Tablet Air"/>
    <x v="0"/>
    <n v="499.99"/>
    <n v="0"/>
  </r>
  <r>
    <s v="ORD-7512"/>
    <x v="1"/>
    <s v="PROD-202"/>
    <x v="1"/>
    <x v="2"/>
    <n v="5"/>
    <x v="0"/>
    <s v="Wireless Headphones"/>
    <x v="1"/>
    <n v="149.99"/>
    <n v="749.95"/>
  </r>
  <r>
    <s v="ORD-7513"/>
    <x v="1"/>
    <s v="PROD-206"/>
    <x v="4"/>
    <x v="3"/>
    <n v="2"/>
    <x v="2"/>
    <s v="Bluetooth Speaker"/>
    <x v="1"/>
    <n v="79.989999999999995"/>
    <n v="159.97999999999999"/>
  </r>
  <r>
    <s v="ORD-7514"/>
    <x v="1"/>
    <s v="PROD-202"/>
    <x v="4"/>
    <x v="0"/>
    <n v="2"/>
    <x v="0"/>
    <s v="Wireless Headphones"/>
    <x v="1"/>
    <n v="149.99"/>
    <n v="299.98"/>
  </r>
  <r>
    <s v="ORD-7515"/>
    <x v="0"/>
    <s v="PROD-205"/>
    <x v="0"/>
    <x v="0"/>
    <n v="1"/>
    <x v="1"/>
    <s v="4K Monitor"/>
    <x v="0"/>
    <n v="349.99"/>
    <n v="0"/>
  </r>
  <r>
    <s v="ORD-7516"/>
    <x v="5"/>
    <s v="PROD-203"/>
    <x v="3"/>
    <x v="3"/>
    <n v="1"/>
    <x v="2"/>
    <s v="Mechanical Keyboard"/>
    <x v="1"/>
    <n v="89.99"/>
    <n v="89.99"/>
  </r>
  <r>
    <s v="ORD-7517"/>
    <x v="1"/>
    <s v="PROD-202"/>
    <x v="3"/>
    <x v="2"/>
    <n v="2"/>
    <x v="0"/>
    <s v="Wireless Headphones"/>
    <x v="1"/>
    <n v="149.99"/>
    <n v="299.98"/>
  </r>
  <r>
    <s v="ORD-7518"/>
    <x v="1"/>
    <s v="PROD-200"/>
    <x v="4"/>
    <x v="2"/>
    <n v="2"/>
    <x v="1"/>
    <s v="Smartphone X"/>
    <x v="0"/>
    <n v="999.99"/>
    <n v="0"/>
  </r>
  <r>
    <s v="ORD-7519"/>
    <x v="5"/>
    <s v="PROD-201"/>
    <x v="3"/>
    <x v="0"/>
    <n v="4"/>
    <x v="0"/>
    <s v="Tablet Air"/>
    <x v="0"/>
    <n v="499.99"/>
    <n v="1999.96"/>
  </r>
  <r>
    <s v="ORD-7520"/>
    <x v="4"/>
    <s v="PROD-207"/>
    <x v="0"/>
    <x v="0"/>
    <n v="1"/>
    <x v="0"/>
    <s v="Ergonomic Chair"/>
    <x v="2"/>
    <n v="249.99"/>
    <n v="249.99"/>
  </r>
  <r>
    <s v="ORD-7521"/>
    <x v="1"/>
    <s v="PROD-201"/>
    <x v="1"/>
    <x v="2"/>
    <n v="1"/>
    <x v="0"/>
    <s v="Tablet Air"/>
    <x v="0"/>
    <n v="499.99"/>
    <n v="499.99"/>
  </r>
  <r>
    <s v="ORD-7522"/>
    <x v="5"/>
    <s v="PROD-206"/>
    <x v="4"/>
    <x v="2"/>
    <n v="4"/>
    <x v="2"/>
    <s v="Bluetooth Speaker"/>
    <x v="1"/>
    <n v="79.989999999999995"/>
    <n v="319.95999999999998"/>
  </r>
  <r>
    <s v="ORD-7523"/>
    <x v="2"/>
    <s v="PROD-204"/>
    <x v="2"/>
    <x v="0"/>
    <n v="1"/>
    <x v="1"/>
    <s v="Gaming Mouse"/>
    <x v="1"/>
    <n v="49.99"/>
    <n v="0"/>
  </r>
  <r>
    <s v="ORD-7524"/>
    <x v="5"/>
    <s v="PROD-206"/>
    <x v="0"/>
    <x v="1"/>
    <n v="3"/>
    <x v="0"/>
    <s v="Bluetooth Speaker"/>
    <x v="1"/>
    <n v="79.989999999999995"/>
    <n v="239.96999999999997"/>
  </r>
  <r>
    <s v="ORD-7525"/>
    <x v="2"/>
    <s v="PROD-207"/>
    <x v="1"/>
    <x v="0"/>
    <n v="5"/>
    <x v="2"/>
    <s v="Ergonomic Chair"/>
    <x v="2"/>
    <n v="249.99"/>
    <n v="1249.95"/>
  </r>
  <r>
    <s v="ORD-7526"/>
    <x v="2"/>
    <s v="PROD-200"/>
    <x v="3"/>
    <x v="3"/>
    <n v="4"/>
    <x v="0"/>
    <s v="Smartphone X"/>
    <x v="0"/>
    <n v="999.99"/>
    <n v="3999.96"/>
  </r>
  <r>
    <s v="ORD-7527"/>
    <x v="3"/>
    <s v="PROD-201"/>
    <x v="0"/>
    <x v="3"/>
    <n v="5"/>
    <x v="0"/>
    <s v="Tablet Air"/>
    <x v="0"/>
    <n v="499.99"/>
    <n v="2499.9499999999998"/>
  </r>
  <r>
    <s v="ORD-7528"/>
    <x v="1"/>
    <s v="PROD-207"/>
    <x v="1"/>
    <x v="3"/>
    <n v="3"/>
    <x v="0"/>
    <s v="Ergonomic Chair"/>
    <x v="2"/>
    <n v="249.99"/>
    <n v="749.97"/>
  </r>
  <r>
    <s v="ORD-7529"/>
    <x v="1"/>
    <s v="PROD-205"/>
    <x v="0"/>
    <x v="3"/>
    <n v="1"/>
    <x v="0"/>
    <s v="4K Monitor"/>
    <x v="0"/>
    <n v="349.99"/>
    <n v="349.99"/>
  </r>
  <r>
    <s v="ORD-7530"/>
    <x v="2"/>
    <s v="PROD-203"/>
    <x v="3"/>
    <x v="0"/>
    <n v="2"/>
    <x v="0"/>
    <s v="Mechanical Keyboard"/>
    <x v="1"/>
    <n v="89.99"/>
    <n v="179.98"/>
  </r>
  <r>
    <s v="ORD-7531"/>
    <x v="1"/>
    <s v="PROD-205"/>
    <x v="1"/>
    <x v="0"/>
    <n v="2"/>
    <x v="0"/>
    <s v="4K Monitor"/>
    <x v="0"/>
    <n v="349.99"/>
    <n v="699.98"/>
  </r>
  <r>
    <s v="ORD-7532"/>
    <x v="5"/>
    <s v="PROD-205"/>
    <x v="4"/>
    <x v="1"/>
    <n v="4"/>
    <x v="2"/>
    <s v="4K Monitor"/>
    <x v="0"/>
    <n v="349.99"/>
    <n v="1399.96"/>
  </r>
  <r>
    <s v="ORD-7533"/>
    <x v="5"/>
    <s v="PROD-201"/>
    <x v="1"/>
    <x v="2"/>
    <n v="3"/>
    <x v="0"/>
    <s v="Tablet Air"/>
    <x v="0"/>
    <n v="499.99"/>
    <n v="1499.97"/>
  </r>
  <r>
    <s v="ORD-7534"/>
    <x v="0"/>
    <s v="PROD-200"/>
    <x v="3"/>
    <x v="2"/>
    <n v="1"/>
    <x v="1"/>
    <s v="Smartphone X"/>
    <x v="0"/>
    <n v="999.99"/>
    <n v="0"/>
  </r>
  <r>
    <s v="ORD-7535"/>
    <x v="0"/>
    <s v="PROD-201"/>
    <x v="1"/>
    <x v="3"/>
    <n v="2"/>
    <x v="0"/>
    <s v="Tablet Air"/>
    <x v="0"/>
    <n v="499.99"/>
    <n v="999.98"/>
  </r>
  <r>
    <s v="ORD-7536"/>
    <x v="2"/>
    <s v="PROD-202"/>
    <x v="2"/>
    <x v="3"/>
    <n v="1"/>
    <x v="0"/>
    <s v="Wireless Headphones"/>
    <x v="1"/>
    <n v="149.99"/>
    <n v="149.99"/>
  </r>
  <r>
    <s v="ORD-7537"/>
    <x v="2"/>
    <s v="PROD-203"/>
    <x v="1"/>
    <x v="1"/>
    <n v="3"/>
    <x v="1"/>
    <s v="Mechanical Keyboard"/>
    <x v="1"/>
    <n v="89.99"/>
    <n v="0"/>
  </r>
  <r>
    <s v="ORD-7538"/>
    <x v="3"/>
    <s v="PROD-204"/>
    <x v="0"/>
    <x v="1"/>
    <n v="2"/>
    <x v="0"/>
    <s v="Gaming Mouse"/>
    <x v="1"/>
    <n v="49.99"/>
    <n v="99.98"/>
  </r>
  <r>
    <s v="ORD-7539"/>
    <x v="1"/>
    <s v="PROD-203"/>
    <x v="1"/>
    <x v="1"/>
    <n v="3"/>
    <x v="1"/>
    <s v="Mechanical Keyboard"/>
    <x v="1"/>
    <n v="89.99"/>
    <n v="0"/>
  </r>
  <r>
    <s v="ORD-7540"/>
    <x v="4"/>
    <s v="PROD-203"/>
    <x v="4"/>
    <x v="3"/>
    <n v="4"/>
    <x v="0"/>
    <s v="Mechanical Keyboard"/>
    <x v="1"/>
    <n v="89.99"/>
    <n v="359.96"/>
  </r>
  <r>
    <s v="ORD-7541"/>
    <x v="4"/>
    <s v="PROD-207"/>
    <x v="2"/>
    <x v="2"/>
    <n v="4"/>
    <x v="0"/>
    <s v="Ergonomic Chair"/>
    <x v="2"/>
    <n v="249.99"/>
    <n v="999.96"/>
  </r>
  <r>
    <s v="ORD-7542"/>
    <x v="2"/>
    <s v="PROD-200"/>
    <x v="1"/>
    <x v="0"/>
    <n v="4"/>
    <x v="0"/>
    <s v="Smartphone X"/>
    <x v="0"/>
    <n v="999.99"/>
    <n v="3999.96"/>
  </r>
  <r>
    <s v="ORD-7543"/>
    <x v="4"/>
    <s v="PROD-204"/>
    <x v="2"/>
    <x v="2"/>
    <n v="5"/>
    <x v="0"/>
    <s v="Gaming Mouse"/>
    <x v="1"/>
    <n v="49.99"/>
    <n v="249.95000000000002"/>
  </r>
  <r>
    <s v="ORD-7544"/>
    <x v="0"/>
    <s v="PROD-203"/>
    <x v="1"/>
    <x v="0"/>
    <n v="5"/>
    <x v="0"/>
    <s v="Mechanical Keyboard"/>
    <x v="1"/>
    <n v="89.99"/>
    <n v="449.95"/>
  </r>
  <r>
    <s v="ORD-7545"/>
    <x v="1"/>
    <s v="PROD-206"/>
    <x v="4"/>
    <x v="1"/>
    <n v="1"/>
    <x v="0"/>
    <s v="Bluetooth Speaker"/>
    <x v="1"/>
    <n v="79.989999999999995"/>
    <n v="79.989999999999995"/>
  </r>
  <r>
    <s v="ORD-7546"/>
    <x v="3"/>
    <s v="PROD-207"/>
    <x v="1"/>
    <x v="2"/>
    <n v="4"/>
    <x v="2"/>
    <s v="Ergonomic Chair"/>
    <x v="2"/>
    <n v="249.99"/>
    <n v="999.96"/>
  </r>
  <r>
    <s v="ORD-7547"/>
    <x v="5"/>
    <s v="PROD-204"/>
    <x v="1"/>
    <x v="0"/>
    <n v="4"/>
    <x v="2"/>
    <s v="Gaming Mouse"/>
    <x v="1"/>
    <n v="49.99"/>
    <n v="199.96"/>
  </r>
  <r>
    <s v="ORD-7548"/>
    <x v="3"/>
    <s v="PROD-200"/>
    <x v="2"/>
    <x v="2"/>
    <n v="5"/>
    <x v="0"/>
    <s v="Smartphone X"/>
    <x v="0"/>
    <n v="999.99"/>
    <n v="4999.95"/>
  </r>
  <r>
    <s v="ORD-7549"/>
    <x v="3"/>
    <s v="PROD-202"/>
    <x v="1"/>
    <x v="2"/>
    <n v="2"/>
    <x v="0"/>
    <s v="Wireless Headphones"/>
    <x v="1"/>
    <n v="149.99"/>
    <n v="299.98"/>
  </r>
  <r>
    <s v="ORD-7550"/>
    <x v="0"/>
    <s v="PROD-203"/>
    <x v="2"/>
    <x v="0"/>
    <n v="4"/>
    <x v="1"/>
    <s v="Mechanical Keyboard"/>
    <x v="1"/>
    <n v="89.99"/>
    <n v="0"/>
  </r>
  <r>
    <s v="ORD-7551"/>
    <x v="3"/>
    <s v="PROD-201"/>
    <x v="3"/>
    <x v="1"/>
    <n v="4"/>
    <x v="1"/>
    <s v="Tablet Air"/>
    <x v="0"/>
    <n v="499.99"/>
    <n v="0"/>
  </r>
  <r>
    <s v="ORD-7552"/>
    <x v="4"/>
    <s v="PROD-201"/>
    <x v="3"/>
    <x v="0"/>
    <n v="2"/>
    <x v="0"/>
    <s v="Tablet Air"/>
    <x v="0"/>
    <n v="499.99"/>
    <n v="999.98"/>
  </r>
  <r>
    <s v="ORD-7553"/>
    <x v="1"/>
    <s v="PROD-206"/>
    <x v="4"/>
    <x v="1"/>
    <n v="3"/>
    <x v="2"/>
    <s v="Bluetooth Speaker"/>
    <x v="1"/>
    <n v="79.989999999999995"/>
    <n v="239.96999999999997"/>
  </r>
  <r>
    <s v="ORD-7554"/>
    <x v="3"/>
    <s v="PROD-202"/>
    <x v="3"/>
    <x v="0"/>
    <n v="2"/>
    <x v="0"/>
    <s v="Wireless Headphones"/>
    <x v="1"/>
    <n v="149.99"/>
    <n v="299.98"/>
  </r>
  <r>
    <s v="ORD-7555"/>
    <x v="5"/>
    <s v="PROD-206"/>
    <x v="3"/>
    <x v="3"/>
    <n v="3"/>
    <x v="0"/>
    <s v="Bluetooth Speaker"/>
    <x v="1"/>
    <n v="79.989999999999995"/>
    <n v="239.96999999999997"/>
  </r>
  <r>
    <s v="ORD-7556"/>
    <x v="4"/>
    <s v="PROD-202"/>
    <x v="0"/>
    <x v="1"/>
    <n v="5"/>
    <x v="1"/>
    <s v="Wireless Headphones"/>
    <x v="1"/>
    <n v="149.99"/>
    <n v="0"/>
  </r>
  <r>
    <s v="ORD-7557"/>
    <x v="1"/>
    <s v="PROD-203"/>
    <x v="1"/>
    <x v="0"/>
    <n v="3"/>
    <x v="0"/>
    <s v="Mechanical Keyboard"/>
    <x v="1"/>
    <n v="89.99"/>
    <n v="269.96999999999997"/>
  </r>
  <r>
    <s v="ORD-7558"/>
    <x v="4"/>
    <s v="PROD-206"/>
    <x v="4"/>
    <x v="0"/>
    <n v="3"/>
    <x v="0"/>
    <s v="Bluetooth Speaker"/>
    <x v="1"/>
    <n v="79.989999999999995"/>
    <n v="239.96999999999997"/>
  </r>
  <r>
    <s v="ORD-7559"/>
    <x v="5"/>
    <s v="PROD-204"/>
    <x v="0"/>
    <x v="2"/>
    <n v="3"/>
    <x v="0"/>
    <s v="Gaming Mouse"/>
    <x v="1"/>
    <n v="49.99"/>
    <n v="149.97"/>
  </r>
  <r>
    <s v="ORD-7560"/>
    <x v="4"/>
    <s v="PROD-201"/>
    <x v="3"/>
    <x v="3"/>
    <n v="2"/>
    <x v="0"/>
    <s v="Tablet Air"/>
    <x v="0"/>
    <n v="499.99"/>
    <n v="999.98"/>
  </r>
  <r>
    <s v="ORD-7561"/>
    <x v="3"/>
    <s v="PROD-201"/>
    <x v="3"/>
    <x v="2"/>
    <n v="5"/>
    <x v="0"/>
    <s v="Tablet Air"/>
    <x v="0"/>
    <n v="499.99"/>
    <n v="2499.9499999999998"/>
  </r>
  <r>
    <s v="ORD-7562"/>
    <x v="2"/>
    <s v="PROD-201"/>
    <x v="2"/>
    <x v="1"/>
    <n v="5"/>
    <x v="0"/>
    <s v="Tablet Air"/>
    <x v="0"/>
    <n v="499.99"/>
    <n v="2499.9499999999998"/>
  </r>
  <r>
    <s v="ORD-7563"/>
    <x v="2"/>
    <s v="PROD-205"/>
    <x v="0"/>
    <x v="2"/>
    <n v="4"/>
    <x v="0"/>
    <s v="4K Monitor"/>
    <x v="0"/>
    <n v="349.99"/>
    <n v="1399.96"/>
  </r>
  <r>
    <s v="ORD-7564"/>
    <x v="4"/>
    <s v="PROD-207"/>
    <x v="2"/>
    <x v="0"/>
    <n v="4"/>
    <x v="0"/>
    <s v="Ergonomic Chair"/>
    <x v="2"/>
    <n v="249.99"/>
    <n v="999.96"/>
  </r>
  <r>
    <s v="ORD-7565"/>
    <x v="1"/>
    <s v="PROD-202"/>
    <x v="0"/>
    <x v="1"/>
    <n v="2"/>
    <x v="1"/>
    <s v="Wireless Headphones"/>
    <x v="1"/>
    <n v="149.99"/>
    <n v="0"/>
  </r>
  <r>
    <s v="ORD-7566"/>
    <x v="5"/>
    <s v="PROD-203"/>
    <x v="1"/>
    <x v="0"/>
    <n v="1"/>
    <x v="0"/>
    <s v="Mechanical Keyboard"/>
    <x v="1"/>
    <n v="89.99"/>
    <n v="89.99"/>
  </r>
  <r>
    <s v="ORD-7567"/>
    <x v="4"/>
    <s v="PROD-201"/>
    <x v="1"/>
    <x v="3"/>
    <n v="3"/>
    <x v="0"/>
    <s v="Tablet Air"/>
    <x v="0"/>
    <n v="499.99"/>
    <n v="1499.97"/>
  </r>
  <r>
    <s v="ORD-7568"/>
    <x v="3"/>
    <s v="PROD-201"/>
    <x v="0"/>
    <x v="1"/>
    <n v="5"/>
    <x v="0"/>
    <s v="Tablet Air"/>
    <x v="0"/>
    <n v="499.99"/>
    <n v="2499.9499999999998"/>
  </r>
  <r>
    <s v="ORD-7569"/>
    <x v="1"/>
    <s v="PROD-206"/>
    <x v="4"/>
    <x v="0"/>
    <n v="1"/>
    <x v="0"/>
    <s v="Bluetooth Speaker"/>
    <x v="1"/>
    <n v="79.989999999999995"/>
    <n v="79.989999999999995"/>
  </r>
  <r>
    <s v="ORD-7570"/>
    <x v="4"/>
    <s v="PROD-203"/>
    <x v="0"/>
    <x v="3"/>
    <n v="3"/>
    <x v="0"/>
    <s v="Mechanical Keyboard"/>
    <x v="1"/>
    <n v="89.99"/>
    <n v="269.96999999999997"/>
  </r>
  <r>
    <s v="ORD-7571"/>
    <x v="0"/>
    <s v="PROD-204"/>
    <x v="3"/>
    <x v="3"/>
    <n v="3"/>
    <x v="1"/>
    <s v="Gaming Mouse"/>
    <x v="1"/>
    <n v="49.99"/>
    <n v="0"/>
  </r>
  <r>
    <s v="ORD-7572"/>
    <x v="1"/>
    <s v="PROD-207"/>
    <x v="3"/>
    <x v="3"/>
    <n v="2"/>
    <x v="0"/>
    <s v="Ergonomic Chair"/>
    <x v="2"/>
    <n v="249.99"/>
    <n v="499.98"/>
  </r>
  <r>
    <s v="ORD-7573"/>
    <x v="5"/>
    <s v="PROD-203"/>
    <x v="4"/>
    <x v="1"/>
    <n v="3"/>
    <x v="0"/>
    <s v="Mechanical Keyboard"/>
    <x v="1"/>
    <n v="89.99"/>
    <n v="269.96999999999997"/>
  </r>
  <r>
    <s v="ORD-7574"/>
    <x v="4"/>
    <s v="PROD-205"/>
    <x v="2"/>
    <x v="1"/>
    <n v="4"/>
    <x v="0"/>
    <s v="4K Monitor"/>
    <x v="0"/>
    <n v="349.99"/>
    <n v="1399.96"/>
  </r>
  <r>
    <s v="ORD-7575"/>
    <x v="2"/>
    <s v="PROD-206"/>
    <x v="2"/>
    <x v="0"/>
    <n v="2"/>
    <x v="0"/>
    <s v="Bluetooth Speaker"/>
    <x v="1"/>
    <n v="79.989999999999995"/>
    <n v="159.97999999999999"/>
  </r>
  <r>
    <s v="ORD-7576"/>
    <x v="4"/>
    <s v="PROD-205"/>
    <x v="3"/>
    <x v="0"/>
    <n v="5"/>
    <x v="1"/>
    <s v="4K Monitor"/>
    <x v="0"/>
    <n v="349.99"/>
    <n v="0"/>
  </r>
  <r>
    <s v="ORD-7577"/>
    <x v="1"/>
    <s v="PROD-202"/>
    <x v="1"/>
    <x v="0"/>
    <n v="5"/>
    <x v="0"/>
    <s v="Wireless Headphones"/>
    <x v="1"/>
    <n v="149.99"/>
    <n v="749.95"/>
  </r>
  <r>
    <s v="ORD-7578"/>
    <x v="0"/>
    <s v="PROD-207"/>
    <x v="1"/>
    <x v="0"/>
    <n v="2"/>
    <x v="0"/>
    <s v="Ergonomic Chair"/>
    <x v="2"/>
    <n v="249.99"/>
    <n v="499.98"/>
  </r>
  <r>
    <s v="ORD-7579"/>
    <x v="3"/>
    <s v="PROD-202"/>
    <x v="0"/>
    <x v="2"/>
    <n v="2"/>
    <x v="0"/>
    <s v="Wireless Headphones"/>
    <x v="1"/>
    <n v="149.99"/>
    <n v="299.98"/>
  </r>
  <r>
    <s v="ORD-7580"/>
    <x v="3"/>
    <s v="PROD-203"/>
    <x v="4"/>
    <x v="2"/>
    <n v="3"/>
    <x v="0"/>
    <s v="Mechanical Keyboard"/>
    <x v="1"/>
    <n v="89.99"/>
    <n v="269.96999999999997"/>
  </r>
  <r>
    <s v="ORD-7581"/>
    <x v="4"/>
    <s v="PROD-202"/>
    <x v="1"/>
    <x v="0"/>
    <n v="2"/>
    <x v="0"/>
    <s v="Wireless Headphones"/>
    <x v="1"/>
    <n v="149.99"/>
    <n v="299.98"/>
  </r>
  <r>
    <s v="ORD-7582"/>
    <x v="1"/>
    <s v="PROD-206"/>
    <x v="4"/>
    <x v="3"/>
    <n v="1"/>
    <x v="0"/>
    <s v="Bluetooth Speaker"/>
    <x v="1"/>
    <n v="79.989999999999995"/>
    <n v="79.989999999999995"/>
  </r>
  <r>
    <s v="ORD-7583"/>
    <x v="1"/>
    <s v="PROD-207"/>
    <x v="3"/>
    <x v="0"/>
    <n v="4"/>
    <x v="1"/>
    <s v="Ergonomic Chair"/>
    <x v="2"/>
    <n v="249.99"/>
    <n v="0"/>
  </r>
  <r>
    <s v="ORD-7584"/>
    <x v="2"/>
    <s v="PROD-207"/>
    <x v="0"/>
    <x v="3"/>
    <n v="3"/>
    <x v="0"/>
    <s v="Ergonomic Chair"/>
    <x v="2"/>
    <n v="249.99"/>
    <n v="749.97"/>
  </r>
  <r>
    <s v="ORD-7585"/>
    <x v="3"/>
    <s v="PROD-204"/>
    <x v="4"/>
    <x v="0"/>
    <n v="5"/>
    <x v="2"/>
    <s v="Gaming Mouse"/>
    <x v="1"/>
    <n v="49.99"/>
    <n v="249.95000000000002"/>
  </r>
  <r>
    <s v="ORD-7586"/>
    <x v="0"/>
    <s v="PROD-205"/>
    <x v="0"/>
    <x v="0"/>
    <n v="2"/>
    <x v="2"/>
    <s v="4K Monitor"/>
    <x v="0"/>
    <n v="349.99"/>
    <n v="699.98"/>
  </r>
  <r>
    <s v="ORD-7587"/>
    <x v="3"/>
    <s v="PROD-206"/>
    <x v="4"/>
    <x v="3"/>
    <n v="3"/>
    <x v="2"/>
    <s v="Bluetooth Speaker"/>
    <x v="1"/>
    <n v="79.989999999999995"/>
    <n v="239.96999999999997"/>
  </r>
  <r>
    <s v="ORD-7588"/>
    <x v="4"/>
    <s v="PROD-205"/>
    <x v="4"/>
    <x v="1"/>
    <n v="1"/>
    <x v="0"/>
    <s v="4K Monitor"/>
    <x v="0"/>
    <n v="349.99"/>
    <n v="349.99"/>
  </r>
  <r>
    <s v="ORD-7589"/>
    <x v="4"/>
    <s v="PROD-201"/>
    <x v="0"/>
    <x v="2"/>
    <n v="2"/>
    <x v="0"/>
    <s v="Tablet Air"/>
    <x v="0"/>
    <n v="499.99"/>
    <n v="999.98"/>
  </r>
  <r>
    <s v="ORD-7590"/>
    <x v="0"/>
    <s v="PROD-200"/>
    <x v="0"/>
    <x v="3"/>
    <n v="2"/>
    <x v="0"/>
    <s v="Smartphone X"/>
    <x v="0"/>
    <n v="999.99"/>
    <n v="1999.98"/>
  </r>
  <r>
    <s v="ORD-7591"/>
    <x v="1"/>
    <s v="PROD-203"/>
    <x v="1"/>
    <x v="2"/>
    <n v="2"/>
    <x v="0"/>
    <s v="Mechanical Keyboard"/>
    <x v="1"/>
    <n v="89.99"/>
    <n v="179.98"/>
  </r>
  <r>
    <s v="ORD-7592"/>
    <x v="2"/>
    <s v="PROD-207"/>
    <x v="3"/>
    <x v="1"/>
    <n v="4"/>
    <x v="2"/>
    <s v="Ergonomic Chair"/>
    <x v="2"/>
    <n v="249.99"/>
    <n v="999.96"/>
  </r>
  <r>
    <s v="ORD-7593"/>
    <x v="1"/>
    <s v="PROD-200"/>
    <x v="3"/>
    <x v="3"/>
    <n v="2"/>
    <x v="0"/>
    <s v="Smartphone X"/>
    <x v="0"/>
    <n v="999.99"/>
    <n v="1999.98"/>
  </r>
  <r>
    <s v="ORD-7594"/>
    <x v="3"/>
    <s v="PROD-207"/>
    <x v="1"/>
    <x v="1"/>
    <n v="5"/>
    <x v="1"/>
    <s v="Ergonomic Chair"/>
    <x v="2"/>
    <n v="249.99"/>
    <n v="0"/>
  </r>
  <r>
    <s v="ORD-7595"/>
    <x v="3"/>
    <s v="PROD-206"/>
    <x v="3"/>
    <x v="0"/>
    <n v="3"/>
    <x v="1"/>
    <s v="Bluetooth Speaker"/>
    <x v="1"/>
    <n v="79.989999999999995"/>
    <n v="0"/>
  </r>
  <r>
    <s v="ORD-7596"/>
    <x v="3"/>
    <s v="PROD-200"/>
    <x v="0"/>
    <x v="0"/>
    <n v="2"/>
    <x v="2"/>
    <s v="Smartphone X"/>
    <x v="0"/>
    <n v="999.99"/>
    <n v="1999.98"/>
  </r>
  <r>
    <s v="ORD-7597"/>
    <x v="1"/>
    <s v="PROD-203"/>
    <x v="4"/>
    <x v="1"/>
    <n v="2"/>
    <x v="0"/>
    <s v="Mechanical Keyboard"/>
    <x v="1"/>
    <n v="89.99"/>
    <n v="179.98"/>
  </r>
  <r>
    <s v="ORD-7598"/>
    <x v="1"/>
    <s v="PROD-201"/>
    <x v="3"/>
    <x v="1"/>
    <n v="3"/>
    <x v="2"/>
    <s v="Tablet Air"/>
    <x v="0"/>
    <n v="499.99"/>
    <n v="1499.97"/>
  </r>
  <r>
    <s v="ORD-7599"/>
    <x v="1"/>
    <s v="PROD-207"/>
    <x v="0"/>
    <x v="2"/>
    <n v="2"/>
    <x v="1"/>
    <s v="Ergonomic Chair"/>
    <x v="2"/>
    <n v="249.99"/>
    <n v="0"/>
  </r>
  <r>
    <s v="ORD-7600"/>
    <x v="4"/>
    <s v="PROD-206"/>
    <x v="0"/>
    <x v="1"/>
    <n v="3"/>
    <x v="0"/>
    <s v="Bluetooth Speaker"/>
    <x v="1"/>
    <n v="79.989999999999995"/>
    <n v="239.96999999999997"/>
  </r>
  <r>
    <s v="ORD-7601"/>
    <x v="2"/>
    <s v="PROD-207"/>
    <x v="0"/>
    <x v="3"/>
    <n v="5"/>
    <x v="0"/>
    <s v="Ergonomic Chair"/>
    <x v="2"/>
    <n v="249.99"/>
    <n v="1249.95"/>
  </r>
  <r>
    <s v="ORD-7602"/>
    <x v="4"/>
    <s v="PROD-200"/>
    <x v="1"/>
    <x v="2"/>
    <n v="5"/>
    <x v="0"/>
    <s v="Smartphone X"/>
    <x v="0"/>
    <n v="999.99"/>
    <n v="4999.95"/>
  </r>
  <r>
    <s v="ORD-7603"/>
    <x v="3"/>
    <s v="PROD-203"/>
    <x v="3"/>
    <x v="1"/>
    <n v="2"/>
    <x v="0"/>
    <s v="Mechanical Keyboard"/>
    <x v="1"/>
    <n v="89.99"/>
    <n v="179.98"/>
  </r>
  <r>
    <s v="ORD-7604"/>
    <x v="5"/>
    <s v="PROD-203"/>
    <x v="2"/>
    <x v="3"/>
    <n v="3"/>
    <x v="0"/>
    <s v="Mechanical Keyboard"/>
    <x v="1"/>
    <n v="89.99"/>
    <n v="269.96999999999997"/>
  </r>
  <r>
    <s v="ORD-7605"/>
    <x v="3"/>
    <s v="PROD-201"/>
    <x v="2"/>
    <x v="3"/>
    <n v="3"/>
    <x v="1"/>
    <s v="Tablet Air"/>
    <x v="0"/>
    <n v="499.99"/>
    <n v="0"/>
  </r>
  <r>
    <s v="ORD-7606"/>
    <x v="0"/>
    <s v="PROD-203"/>
    <x v="4"/>
    <x v="1"/>
    <n v="5"/>
    <x v="2"/>
    <s v="Mechanical Keyboard"/>
    <x v="1"/>
    <n v="89.99"/>
    <n v="449.95"/>
  </r>
  <r>
    <s v="ORD-7607"/>
    <x v="3"/>
    <s v="PROD-206"/>
    <x v="0"/>
    <x v="0"/>
    <n v="2"/>
    <x v="0"/>
    <s v="Bluetooth Speaker"/>
    <x v="1"/>
    <n v="79.989999999999995"/>
    <n v="159.97999999999999"/>
  </r>
  <r>
    <s v="ORD-7608"/>
    <x v="5"/>
    <s v="PROD-202"/>
    <x v="4"/>
    <x v="2"/>
    <n v="3"/>
    <x v="0"/>
    <s v="Wireless Headphones"/>
    <x v="1"/>
    <n v="149.99"/>
    <n v="449.97"/>
  </r>
  <r>
    <s v="ORD-7609"/>
    <x v="0"/>
    <s v="PROD-202"/>
    <x v="4"/>
    <x v="2"/>
    <n v="3"/>
    <x v="0"/>
    <s v="Wireless Headphones"/>
    <x v="1"/>
    <n v="149.99"/>
    <n v="449.97"/>
  </r>
  <r>
    <s v="ORD-7610"/>
    <x v="3"/>
    <s v="PROD-203"/>
    <x v="2"/>
    <x v="3"/>
    <n v="4"/>
    <x v="0"/>
    <s v="Mechanical Keyboard"/>
    <x v="1"/>
    <n v="89.99"/>
    <n v="359.96"/>
  </r>
  <r>
    <s v="ORD-7611"/>
    <x v="5"/>
    <s v="PROD-205"/>
    <x v="4"/>
    <x v="2"/>
    <n v="4"/>
    <x v="0"/>
    <s v="4K Monitor"/>
    <x v="0"/>
    <n v="349.99"/>
    <n v="1399.96"/>
  </r>
  <r>
    <s v="ORD-7612"/>
    <x v="5"/>
    <s v="PROD-206"/>
    <x v="2"/>
    <x v="3"/>
    <n v="5"/>
    <x v="0"/>
    <s v="Bluetooth Speaker"/>
    <x v="1"/>
    <n v="79.989999999999995"/>
    <n v="399.95"/>
  </r>
  <r>
    <s v="ORD-7613"/>
    <x v="4"/>
    <s v="PROD-205"/>
    <x v="2"/>
    <x v="0"/>
    <n v="4"/>
    <x v="0"/>
    <s v="4K Monitor"/>
    <x v="0"/>
    <n v="349.99"/>
    <n v="1399.96"/>
  </r>
  <r>
    <s v="ORD-7614"/>
    <x v="0"/>
    <s v="PROD-201"/>
    <x v="0"/>
    <x v="3"/>
    <n v="1"/>
    <x v="0"/>
    <s v="Tablet Air"/>
    <x v="0"/>
    <n v="499.99"/>
    <n v="499.99"/>
  </r>
  <r>
    <s v="ORD-7615"/>
    <x v="0"/>
    <s v="PROD-207"/>
    <x v="4"/>
    <x v="3"/>
    <n v="3"/>
    <x v="2"/>
    <s v="Ergonomic Chair"/>
    <x v="2"/>
    <n v="249.99"/>
    <n v="749.97"/>
  </r>
  <r>
    <s v="ORD-7616"/>
    <x v="2"/>
    <s v="PROD-200"/>
    <x v="4"/>
    <x v="3"/>
    <n v="1"/>
    <x v="2"/>
    <s v="Smartphone X"/>
    <x v="0"/>
    <n v="999.99"/>
    <n v="999.99"/>
  </r>
  <r>
    <s v="ORD-7617"/>
    <x v="0"/>
    <s v="PROD-203"/>
    <x v="0"/>
    <x v="1"/>
    <n v="4"/>
    <x v="0"/>
    <s v="Mechanical Keyboard"/>
    <x v="1"/>
    <n v="89.99"/>
    <n v="359.96"/>
  </r>
  <r>
    <s v="ORD-7618"/>
    <x v="2"/>
    <s v="PROD-206"/>
    <x v="3"/>
    <x v="3"/>
    <n v="4"/>
    <x v="0"/>
    <s v="Bluetooth Speaker"/>
    <x v="1"/>
    <n v="79.989999999999995"/>
    <n v="319.95999999999998"/>
  </r>
  <r>
    <s v="ORD-7619"/>
    <x v="5"/>
    <s v="PROD-206"/>
    <x v="3"/>
    <x v="2"/>
    <n v="2"/>
    <x v="0"/>
    <s v="Bluetooth Speaker"/>
    <x v="1"/>
    <n v="79.989999999999995"/>
    <n v="159.97999999999999"/>
  </r>
  <r>
    <s v="ORD-7620"/>
    <x v="4"/>
    <s v="PROD-202"/>
    <x v="4"/>
    <x v="0"/>
    <n v="3"/>
    <x v="2"/>
    <s v="Wireless Headphones"/>
    <x v="1"/>
    <n v="149.99"/>
    <n v="449.97"/>
  </r>
  <r>
    <s v="ORD-7621"/>
    <x v="4"/>
    <s v="PROD-200"/>
    <x v="0"/>
    <x v="1"/>
    <n v="2"/>
    <x v="0"/>
    <s v="Smartphone X"/>
    <x v="0"/>
    <n v="999.99"/>
    <n v="1999.98"/>
  </r>
  <r>
    <s v="ORD-7622"/>
    <x v="5"/>
    <s v="PROD-205"/>
    <x v="2"/>
    <x v="1"/>
    <n v="1"/>
    <x v="0"/>
    <s v="4K Monitor"/>
    <x v="0"/>
    <n v="349.99"/>
    <n v="349.99"/>
  </r>
  <r>
    <s v="ORD-7623"/>
    <x v="4"/>
    <s v="PROD-205"/>
    <x v="1"/>
    <x v="3"/>
    <n v="4"/>
    <x v="2"/>
    <s v="4K Monitor"/>
    <x v="0"/>
    <n v="349.99"/>
    <n v="1399.96"/>
  </r>
  <r>
    <s v="ORD-7624"/>
    <x v="3"/>
    <s v="PROD-203"/>
    <x v="2"/>
    <x v="2"/>
    <n v="5"/>
    <x v="0"/>
    <s v="Mechanical Keyboard"/>
    <x v="1"/>
    <n v="89.99"/>
    <n v="449.95"/>
  </r>
  <r>
    <s v="ORD-7625"/>
    <x v="4"/>
    <s v="PROD-204"/>
    <x v="4"/>
    <x v="3"/>
    <n v="1"/>
    <x v="0"/>
    <s v="Gaming Mouse"/>
    <x v="1"/>
    <n v="49.99"/>
    <n v="49.99"/>
  </r>
  <r>
    <s v="ORD-7626"/>
    <x v="2"/>
    <s v="PROD-205"/>
    <x v="2"/>
    <x v="0"/>
    <n v="3"/>
    <x v="2"/>
    <s v="4K Monitor"/>
    <x v="0"/>
    <n v="349.99"/>
    <n v="1049.97"/>
  </r>
  <r>
    <s v="ORD-7627"/>
    <x v="1"/>
    <s v="PROD-201"/>
    <x v="2"/>
    <x v="0"/>
    <n v="2"/>
    <x v="0"/>
    <s v="Tablet Air"/>
    <x v="0"/>
    <n v="499.99"/>
    <n v="999.98"/>
  </r>
  <r>
    <s v="ORD-7628"/>
    <x v="3"/>
    <s v="PROD-203"/>
    <x v="1"/>
    <x v="3"/>
    <n v="1"/>
    <x v="0"/>
    <s v="Mechanical Keyboard"/>
    <x v="1"/>
    <n v="89.99"/>
    <n v="89.99"/>
  </r>
  <r>
    <s v="ORD-7629"/>
    <x v="3"/>
    <s v="PROD-207"/>
    <x v="3"/>
    <x v="3"/>
    <n v="3"/>
    <x v="2"/>
    <s v="Ergonomic Chair"/>
    <x v="2"/>
    <n v="249.99"/>
    <n v="749.97"/>
  </r>
  <r>
    <s v="ORD-7630"/>
    <x v="1"/>
    <s v="PROD-204"/>
    <x v="2"/>
    <x v="3"/>
    <n v="3"/>
    <x v="1"/>
    <s v="Gaming Mouse"/>
    <x v="1"/>
    <n v="49.99"/>
    <n v="0"/>
  </r>
  <r>
    <s v="ORD-7631"/>
    <x v="4"/>
    <s v="PROD-207"/>
    <x v="3"/>
    <x v="2"/>
    <n v="3"/>
    <x v="1"/>
    <s v="Ergonomic Chair"/>
    <x v="2"/>
    <n v="249.99"/>
    <n v="0"/>
  </r>
  <r>
    <s v="ORD-7632"/>
    <x v="4"/>
    <s v="PROD-205"/>
    <x v="2"/>
    <x v="1"/>
    <n v="2"/>
    <x v="0"/>
    <s v="4K Monitor"/>
    <x v="0"/>
    <n v="349.99"/>
    <n v="699.98"/>
  </r>
  <r>
    <s v="ORD-7633"/>
    <x v="2"/>
    <s v="PROD-206"/>
    <x v="0"/>
    <x v="2"/>
    <n v="4"/>
    <x v="0"/>
    <s v="Bluetooth Speaker"/>
    <x v="1"/>
    <n v="79.989999999999995"/>
    <n v="319.95999999999998"/>
  </r>
  <r>
    <s v="ORD-7634"/>
    <x v="3"/>
    <s v="PROD-202"/>
    <x v="3"/>
    <x v="2"/>
    <n v="2"/>
    <x v="0"/>
    <s v="Wireless Headphones"/>
    <x v="1"/>
    <n v="149.99"/>
    <n v="299.98"/>
  </r>
  <r>
    <s v="ORD-7635"/>
    <x v="4"/>
    <s v="PROD-200"/>
    <x v="2"/>
    <x v="3"/>
    <n v="3"/>
    <x v="0"/>
    <s v="Smartphone X"/>
    <x v="0"/>
    <n v="999.99"/>
    <n v="2999.9700000000003"/>
  </r>
  <r>
    <s v="ORD-7636"/>
    <x v="4"/>
    <s v="PROD-201"/>
    <x v="0"/>
    <x v="3"/>
    <n v="4"/>
    <x v="0"/>
    <s v="Tablet Air"/>
    <x v="0"/>
    <n v="499.99"/>
    <n v="1999.96"/>
  </r>
  <r>
    <s v="ORD-7637"/>
    <x v="2"/>
    <s v="PROD-200"/>
    <x v="4"/>
    <x v="2"/>
    <n v="5"/>
    <x v="0"/>
    <s v="Smartphone X"/>
    <x v="0"/>
    <n v="999.99"/>
    <n v="4999.95"/>
  </r>
  <r>
    <s v="ORD-7638"/>
    <x v="2"/>
    <s v="PROD-205"/>
    <x v="4"/>
    <x v="2"/>
    <n v="5"/>
    <x v="1"/>
    <s v="4K Monitor"/>
    <x v="0"/>
    <n v="349.99"/>
    <n v="0"/>
  </r>
  <r>
    <s v="ORD-7639"/>
    <x v="1"/>
    <s v="PROD-204"/>
    <x v="2"/>
    <x v="0"/>
    <n v="2"/>
    <x v="0"/>
    <s v="Gaming Mouse"/>
    <x v="1"/>
    <n v="49.99"/>
    <n v="99.98"/>
  </r>
  <r>
    <s v="ORD-7640"/>
    <x v="1"/>
    <s v="PROD-207"/>
    <x v="2"/>
    <x v="3"/>
    <n v="4"/>
    <x v="0"/>
    <s v="Ergonomic Chair"/>
    <x v="2"/>
    <n v="249.99"/>
    <n v="999.96"/>
  </r>
  <r>
    <s v="ORD-7641"/>
    <x v="0"/>
    <s v="PROD-200"/>
    <x v="4"/>
    <x v="2"/>
    <n v="2"/>
    <x v="0"/>
    <s v="Smartphone X"/>
    <x v="0"/>
    <n v="999.99"/>
    <n v="1999.98"/>
  </r>
  <r>
    <s v="ORD-7642"/>
    <x v="5"/>
    <s v="PROD-200"/>
    <x v="4"/>
    <x v="3"/>
    <n v="1"/>
    <x v="0"/>
    <s v="Smartphone X"/>
    <x v="0"/>
    <n v="999.99"/>
    <n v="999.99"/>
  </r>
  <r>
    <s v="ORD-7643"/>
    <x v="0"/>
    <s v="PROD-207"/>
    <x v="3"/>
    <x v="0"/>
    <n v="3"/>
    <x v="0"/>
    <s v="Ergonomic Chair"/>
    <x v="2"/>
    <n v="249.99"/>
    <n v="749.97"/>
  </r>
  <r>
    <s v="ORD-7644"/>
    <x v="2"/>
    <s v="PROD-202"/>
    <x v="3"/>
    <x v="0"/>
    <n v="2"/>
    <x v="1"/>
    <s v="Wireless Headphones"/>
    <x v="1"/>
    <n v="149.99"/>
    <n v="0"/>
  </r>
  <r>
    <s v="ORD-7645"/>
    <x v="3"/>
    <s v="PROD-202"/>
    <x v="3"/>
    <x v="0"/>
    <n v="5"/>
    <x v="0"/>
    <s v="Wireless Headphones"/>
    <x v="1"/>
    <n v="149.99"/>
    <n v="749.95"/>
  </r>
  <r>
    <s v="ORD-7646"/>
    <x v="2"/>
    <s v="PROD-204"/>
    <x v="0"/>
    <x v="2"/>
    <n v="3"/>
    <x v="2"/>
    <s v="Gaming Mouse"/>
    <x v="1"/>
    <n v="49.99"/>
    <n v="149.97"/>
  </r>
  <r>
    <s v="ORD-7647"/>
    <x v="5"/>
    <s v="PROD-206"/>
    <x v="2"/>
    <x v="2"/>
    <n v="5"/>
    <x v="2"/>
    <s v="Bluetooth Speaker"/>
    <x v="1"/>
    <n v="79.989999999999995"/>
    <n v="399.95"/>
  </r>
  <r>
    <s v="ORD-7648"/>
    <x v="4"/>
    <s v="PROD-205"/>
    <x v="0"/>
    <x v="2"/>
    <n v="2"/>
    <x v="0"/>
    <s v="4K Monitor"/>
    <x v="0"/>
    <n v="349.99"/>
    <n v="699.98"/>
  </r>
  <r>
    <s v="ORD-7649"/>
    <x v="3"/>
    <s v="PROD-200"/>
    <x v="2"/>
    <x v="3"/>
    <n v="2"/>
    <x v="0"/>
    <s v="Smartphone X"/>
    <x v="0"/>
    <n v="999.99"/>
    <n v="1999.98"/>
  </r>
  <r>
    <s v="ORD-7650"/>
    <x v="0"/>
    <s v="PROD-203"/>
    <x v="0"/>
    <x v="1"/>
    <n v="5"/>
    <x v="0"/>
    <s v="Mechanical Keyboard"/>
    <x v="1"/>
    <n v="89.99"/>
    <n v="449.95"/>
  </r>
  <r>
    <s v="ORD-7651"/>
    <x v="3"/>
    <s v="PROD-204"/>
    <x v="0"/>
    <x v="2"/>
    <n v="1"/>
    <x v="0"/>
    <s v="Gaming Mouse"/>
    <x v="1"/>
    <n v="49.99"/>
    <n v="49.99"/>
  </r>
  <r>
    <s v="ORD-7652"/>
    <x v="5"/>
    <s v="PROD-207"/>
    <x v="3"/>
    <x v="0"/>
    <n v="2"/>
    <x v="0"/>
    <s v="Ergonomic Chair"/>
    <x v="2"/>
    <n v="249.99"/>
    <n v="499.98"/>
  </r>
  <r>
    <s v="ORD-7653"/>
    <x v="3"/>
    <s v="PROD-206"/>
    <x v="2"/>
    <x v="2"/>
    <n v="2"/>
    <x v="1"/>
    <s v="Bluetooth Speaker"/>
    <x v="1"/>
    <n v="79.989999999999995"/>
    <n v="0"/>
  </r>
  <r>
    <s v="ORD-7654"/>
    <x v="4"/>
    <s v="PROD-200"/>
    <x v="1"/>
    <x v="2"/>
    <n v="2"/>
    <x v="0"/>
    <s v="Smartphone X"/>
    <x v="0"/>
    <n v="999.99"/>
    <n v="1999.98"/>
  </r>
  <r>
    <s v="ORD-7655"/>
    <x v="0"/>
    <s v="PROD-203"/>
    <x v="3"/>
    <x v="0"/>
    <n v="3"/>
    <x v="2"/>
    <s v="Mechanical Keyboard"/>
    <x v="1"/>
    <n v="89.99"/>
    <n v="269.96999999999997"/>
  </r>
  <r>
    <s v="ORD-7656"/>
    <x v="5"/>
    <s v="PROD-201"/>
    <x v="0"/>
    <x v="3"/>
    <n v="1"/>
    <x v="2"/>
    <s v="Tablet Air"/>
    <x v="0"/>
    <n v="499.99"/>
    <n v="499.99"/>
  </r>
  <r>
    <s v="ORD-7657"/>
    <x v="0"/>
    <s v="PROD-207"/>
    <x v="2"/>
    <x v="3"/>
    <n v="5"/>
    <x v="0"/>
    <s v="Ergonomic Chair"/>
    <x v="2"/>
    <n v="249.99"/>
    <n v="1249.95"/>
  </r>
  <r>
    <s v="ORD-7658"/>
    <x v="0"/>
    <s v="PROD-202"/>
    <x v="4"/>
    <x v="0"/>
    <n v="5"/>
    <x v="2"/>
    <s v="Wireless Headphones"/>
    <x v="1"/>
    <n v="149.99"/>
    <n v="749.95"/>
  </r>
  <r>
    <s v="ORD-7659"/>
    <x v="4"/>
    <s v="PROD-203"/>
    <x v="1"/>
    <x v="1"/>
    <n v="4"/>
    <x v="1"/>
    <s v="Mechanical Keyboard"/>
    <x v="1"/>
    <n v="89.99"/>
    <n v="0"/>
  </r>
  <r>
    <s v="ORD-7660"/>
    <x v="2"/>
    <s v="PROD-202"/>
    <x v="0"/>
    <x v="1"/>
    <n v="3"/>
    <x v="2"/>
    <s v="Wireless Headphones"/>
    <x v="1"/>
    <n v="149.99"/>
    <n v="449.97"/>
  </r>
  <r>
    <s v="ORD-7661"/>
    <x v="1"/>
    <s v="PROD-207"/>
    <x v="1"/>
    <x v="0"/>
    <n v="4"/>
    <x v="2"/>
    <s v="Ergonomic Chair"/>
    <x v="2"/>
    <n v="249.99"/>
    <n v="999.96"/>
  </r>
  <r>
    <s v="ORD-7662"/>
    <x v="2"/>
    <s v="PROD-205"/>
    <x v="2"/>
    <x v="1"/>
    <n v="1"/>
    <x v="0"/>
    <s v="4K Monitor"/>
    <x v="0"/>
    <n v="349.99"/>
    <n v="349.99"/>
  </r>
  <r>
    <s v="ORD-7663"/>
    <x v="5"/>
    <s v="PROD-201"/>
    <x v="0"/>
    <x v="2"/>
    <n v="4"/>
    <x v="0"/>
    <s v="Tablet Air"/>
    <x v="0"/>
    <n v="499.99"/>
    <n v="1999.96"/>
  </r>
  <r>
    <s v="ORD-7664"/>
    <x v="2"/>
    <s v="PROD-207"/>
    <x v="2"/>
    <x v="3"/>
    <n v="4"/>
    <x v="0"/>
    <s v="Ergonomic Chair"/>
    <x v="2"/>
    <n v="249.99"/>
    <n v="999.96"/>
  </r>
  <r>
    <s v="ORD-7665"/>
    <x v="3"/>
    <s v="PROD-201"/>
    <x v="0"/>
    <x v="1"/>
    <n v="5"/>
    <x v="0"/>
    <s v="Tablet Air"/>
    <x v="0"/>
    <n v="499.99"/>
    <n v="2499.9499999999998"/>
  </r>
  <r>
    <s v="ORD-7666"/>
    <x v="4"/>
    <s v="PROD-207"/>
    <x v="2"/>
    <x v="1"/>
    <n v="4"/>
    <x v="0"/>
    <s v="Ergonomic Chair"/>
    <x v="2"/>
    <n v="249.99"/>
    <n v="999.96"/>
  </r>
  <r>
    <s v="ORD-7667"/>
    <x v="0"/>
    <s v="PROD-202"/>
    <x v="0"/>
    <x v="3"/>
    <n v="1"/>
    <x v="0"/>
    <s v="Wireless Headphones"/>
    <x v="1"/>
    <n v="149.99"/>
    <n v="149.99"/>
  </r>
  <r>
    <s v="ORD-7668"/>
    <x v="1"/>
    <s v="PROD-200"/>
    <x v="0"/>
    <x v="2"/>
    <n v="3"/>
    <x v="1"/>
    <s v="Smartphone X"/>
    <x v="0"/>
    <n v="999.99"/>
    <n v="0"/>
  </r>
  <r>
    <s v="ORD-7669"/>
    <x v="3"/>
    <s v="PROD-202"/>
    <x v="2"/>
    <x v="0"/>
    <n v="4"/>
    <x v="0"/>
    <s v="Wireless Headphones"/>
    <x v="1"/>
    <n v="149.99"/>
    <n v="599.96"/>
  </r>
  <r>
    <s v="ORD-7670"/>
    <x v="2"/>
    <s v="PROD-206"/>
    <x v="1"/>
    <x v="0"/>
    <n v="1"/>
    <x v="1"/>
    <s v="Bluetooth Speaker"/>
    <x v="1"/>
    <n v="79.989999999999995"/>
    <n v="0"/>
  </r>
  <r>
    <s v="ORD-7671"/>
    <x v="4"/>
    <s v="PROD-203"/>
    <x v="0"/>
    <x v="0"/>
    <n v="3"/>
    <x v="0"/>
    <s v="Mechanical Keyboard"/>
    <x v="1"/>
    <n v="89.99"/>
    <n v="269.96999999999997"/>
  </r>
  <r>
    <s v="ORD-7672"/>
    <x v="0"/>
    <s v="PROD-203"/>
    <x v="3"/>
    <x v="2"/>
    <n v="2"/>
    <x v="0"/>
    <s v="Mechanical Keyboard"/>
    <x v="1"/>
    <n v="89.99"/>
    <n v="179.98"/>
  </r>
  <r>
    <s v="ORD-7673"/>
    <x v="5"/>
    <s v="PROD-204"/>
    <x v="4"/>
    <x v="3"/>
    <n v="2"/>
    <x v="0"/>
    <s v="Gaming Mouse"/>
    <x v="1"/>
    <n v="49.99"/>
    <n v="99.98"/>
  </r>
  <r>
    <s v="ORD-7674"/>
    <x v="0"/>
    <s v="PROD-202"/>
    <x v="1"/>
    <x v="0"/>
    <n v="2"/>
    <x v="0"/>
    <s v="Wireless Headphones"/>
    <x v="1"/>
    <n v="149.99"/>
    <n v="299.98"/>
  </r>
  <r>
    <s v="ORD-7675"/>
    <x v="4"/>
    <s v="PROD-202"/>
    <x v="0"/>
    <x v="1"/>
    <n v="1"/>
    <x v="1"/>
    <s v="Wireless Headphones"/>
    <x v="1"/>
    <n v="149.99"/>
    <n v="0"/>
  </r>
  <r>
    <s v="ORD-7676"/>
    <x v="2"/>
    <s v="PROD-200"/>
    <x v="0"/>
    <x v="0"/>
    <n v="3"/>
    <x v="0"/>
    <s v="Smartphone X"/>
    <x v="0"/>
    <n v="999.99"/>
    <n v="2999.9700000000003"/>
  </r>
  <r>
    <s v="ORD-7677"/>
    <x v="3"/>
    <s v="PROD-204"/>
    <x v="3"/>
    <x v="1"/>
    <n v="5"/>
    <x v="2"/>
    <s v="Gaming Mouse"/>
    <x v="1"/>
    <n v="49.99"/>
    <n v="249.95000000000002"/>
  </r>
  <r>
    <s v="ORD-7678"/>
    <x v="5"/>
    <s v="PROD-204"/>
    <x v="4"/>
    <x v="0"/>
    <n v="4"/>
    <x v="0"/>
    <s v="Gaming Mouse"/>
    <x v="1"/>
    <n v="49.99"/>
    <n v="199.96"/>
  </r>
  <r>
    <s v="ORD-7679"/>
    <x v="3"/>
    <s v="PROD-205"/>
    <x v="4"/>
    <x v="1"/>
    <n v="1"/>
    <x v="0"/>
    <s v="4K Monitor"/>
    <x v="0"/>
    <n v="349.99"/>
    <n v="349.99"/>
  </r>
  <r>
    <s v="ORD-7680"/>
    <x v="3"/>
    <s v="PROD-207"/>
    <x v="4"/>
    <x v="1"/>
    <n v="3"/>
    <x v="0"/>
    <s v="Ergonomic Chair"/>
    <x v="2"/>
    <n v="249.99"/>
    <n v="749.97"/>
  </r>
  <r>
    <s v="ORD-7681"/>
    <x v="2"/>
    <s v="PROD-203"/>
    <x v="3"/>
    <x v="1"/>
    <n v="2"/>
    <x v="0"/>
    <s v="Mechanical Keyboard"/>
    <x v="1"/>
    <n v="89.99"/>
    <n v="179.98"/>
  </r>
  <r>
    <s v="ORD-7682"/>
    <x v="3"/>
    <s v="PROD-206"/>
    <x v="1"/>
    <x v="0"/>
    <n v="2"/>
    <x v="2"/>
    <s v="Bluetooth Speaker"/>
    <x v="1"/>
    <n v="79.989999999999995"/>
    <n v="159.97999999999999"/>
  </r>
  <r>
    <s v="ORD-7683"/>
    <x v="5"/>
    <s v="PROD-207"/>
    <x v="3"/>
    <x v="3"/>
    <n v="5"/>
    <x v="0"/>
    <s v="Ergonomic Chair"/>
    <x v="2"/>
    <n v="249.99"/>
    <n v="1249.95"/>
  </r>
  <r>
    <s v="ORD-7684"/>
    <x v="1"/>
    <s v="PROD-204"/>
    <x v="3"/>
    <x v="2"/>
    <n v="3"/>
    <x v="0"/>
    <s v="Gaming Mouse"/>
    <x v="1"/>
    <n v="49.99"/>
    <n v="149.97"/>
  </r>
  <r>
    <s v="ORD-7685"/>
    <x v="0"/>
    <s v="PROD-201"/>
    <x v="2"/>
    <x v="1"/>
    <n v="2"/>
    <x v="2"/>
    <s v="Tablet Air"/>
    <x v="0"/>
    <n v="499.99"/>
    <n v="999.98"/>
  </r>
  <r>
    <s v="ORD-7686"/>
    <x v="1"/>
    <s v="PROD-207"/>
    <x v="3"/>
    <x v="0"/>
    <n v="2"/>
    <x v="0"/>
    <s v="Ergonomic Chair"/>
    <x v="2"/>
    <n v="249.99"/>
    <n v="499.98"/>
  </r>
  <r>
    <s v="ORD-7687"/>
    <x v="0"/>
    <s v="PROD-200"/>
    <x v="0"/>
    <x v="2"/>
    <n v="2"/>
    <x v="1"/>
    <s v="Smartphone X"/>
    <x v="0"/>
    <n v="999.99"/>
    <n v="0"/>
  </r>
  <r>
    <s v="ORD-7688"/>
    <x v="5"/>
    <s v="PROD-205"/>
    <x v="4"/>
    <x v="3"/>
    <n v="1"/>
    <x v="0"/>
    <s v="4K Monitor"/>
    <x v="0"/>
    <n v="349.99"/>
    <n v="349.99"/>
  </r>
  <r>
    <s v="ORD-7689"/>
    <x v="5"/>
    <s v="PROD-203"/>
    <x v="4"/>
    <x v="1"/>
    <n v="2"/>
    <x v="0"/>
    <s v="Mechanical Keyboard"/>
    <x v="1"/>
    <n v="89.99"/>
    <n v="179.98"/>
  </r>
  <r>
    <s v="ORD-7690"/>
    <x v="2"/>
    <s v="PROD-202"/>
    <x v="2"/>
    <x v="0"/>
    <n v="1"/>
    <x v="2"/>
    <s v="Wireless Headphones"/>
    <x v="1"/>
    <n v="149.99"/>
    <n v="149.99"/>
  </r>
  <r>
    <s v="ORD-7691"/>
    <x v="2"/>
    <s v="PROD-205"/>
    <x v="0"/>
    <x v="3"/>
    <n v="3"/>
    <x v="0"/>
    <s v="4K Monitor"/>
    <x v="0"/>
    <n v="349.99"/>
    <n v="1049.97"/>
  </r>
  <r>
    <s v="ORD-7692"/>
    <x v="3"/>
    <s v="PROD-200"/>
    <x v="0"/>
    <x v="1"/>
    <n v="3"/>
    <x v="2"/>
    <s v="Smartphone X"/>
    <x v="0"/>
    <n v="999.99"/>
    <n v="2999.9700000000003"/>
  </r>
  <r>
    <s v="ORD-7693"/>
    <x v="3"/>
    <s v="PROD-200"/>
    <x v="3"/>
    <x v="2"/>
    <n v="2"/>
    <x v="1"/>
    <s v="Smartphone X"/>
    <x v="0"/>
    <n v="999.99"/>
    <n v="0"/>
  </r>
  <r>
    <s v="ORD-7694"/>
    <x v="3"/>
    <s v="PROD-202"/>
    <x v="0"/>
    <x v="0"/>
    <n v="5"/>
    <x v="1"/>
    <s v="Wireless Headphones"/>
    <x v="1"/>
    <n v="149.99"/>
    <n v="0"/>
  </r>
  <r>
    <s v="ORD-7695"/>
    <x v="4"/>
    <s v="PROD-206"/>
    <x v="1"/>
    <x v="1"/>
    <n v="3"/>
    <x v="0"/>
    <s v="Bluetooth Speaker"/>
    <x v="1"/>
    <n v="79.989999999999995"/>
    <n v="239.96999999999997"/>
  </r>
  <r>
    <s v="ORD-7696"/>
    <x v="1"/>
    <s v="PROD-200"/>
    <x v="1"/>
    <x v="1"/>
    <n v="3"/>
    <x v="0"/>
    <s v="Smartphone X"/>
    <x v="0"/>
    <n v="999.99"/>
    <n v="2999.9700000000003"/>
  </r>
  <r>
    <s v="ORD-7697"/>
    <x v="1"/>
    <s v="PROD-205"/>
    <x v="2"/>
    <x v="1"/>
    <n v="2"/>
    <x v="0"/>
    <s v="4K Monitor"/>
    <x v="0"/>
    <n v="349.99"/>
    <n v="699.98"/>
  </r>
  <r>
    <s v="ORD-7698"/>
    <x v="5"/>
    <s v="PROD-206"/>
    <x v="2"/>
    <x v="3"/>
    <n v="1"/>
    <x v="0"/>
    <s v="Bluetooth Speaker"/>
    <x v="1"/>
    <n v="79.989999999999995"/>
    <n v="79.989999999999995"/>
  </r>
  <r>
    <s v="ORD-7699"/>
    <x v="5"/>
    <s v="PROD-206"/>
    <x v="4"/>
    <x v="2"/>
    <n v="3"/>
    <x v="2"/>
    <s v="Bluetooth Speaker"/>
    <x v="1"/>
    <n v="79.989999999999995"/>
    <n v="239.96999999999997"/>
  </r>
  <r>
    <s v="ORD-7700"/>
    <x v="3"/>
    <s v="PROD-205"/>
    <x v="4"/>
    <x v="1"/>
    <n v="3"/>
    <x v="1"/>
    <s v="4K Monitor"/>
    <x v="0"/>
    <n v="349.99"/>
    <n v="0"/>
  </r>
  <r>
    <s v="ORD-7701"/>
    <x v="3"/>
    <s v="PROD-203"/>
    <x v="3"/>
    <x v="2"/>
    <n v="2"/>
    <x v="0"/>
    <s v="Mechanical Keyboard"/>
    <x v="1"/>
    <n v="89.99"/>
    <n v="179.98"/>
  </r>
  <r>
    <s v="ORD-7702"/>
    <x v="0"/>
    <s v="PROD-201"/>
    <x v="1"/>
    <x v="2"/>
    <n v="1"/>
    <x v="0"/>
    <s v="Tablet Air"/>
    <x v="0"/>
    <n v="499.99"/>
    <n v="499.99"/>
  </r>
  <r>
    <s v="ORD-7703"/>
    <x v="4"/>
    <s v="PROD-205"/>
    <x v="2"/>
    <x v="2"/>
    <n v="1"/>
    <x v="1"/>
    <s v="4K Monitor"/>
    <x v="0"/>
    <n v="349.99"/>
    <n v="0"/>
  </r>
  <r>
    <s v="ORD-7704"/>
    <x v="1"/>
    <s v="PROD-202"/>
    <x v="4"/>
    <x v="1"/>
    <n v="2"/>
    <x v="1"/>
    <s v="Wireless Headphones"/>
    <x v="1"/>
    <n v="149.99"/>
    <n v="0"/>
  </r>
  <r>
    <s v="ORD-7705"/>
    <x v="1"/>
    <s v="PROD-202"/>
    <x v="3"/>
    <x v="0"/>
    <n v="4"/>
    <x v="2"/>
    <s v="Wireless Headphones"/>
    <x v="1"/>
    <n v="149.99"/>
    <n v="599.96"/>
  </r>
  <r>
    <s v="ORD-7706"/>
    <x v="5"/>
    <s v="PROD-201"/>
    <x v="1"/>
    <x v="2"/>
    <n v="2"/>
    <x v="0"/>
    <s v="Tablet Air"/>
    <x v="0"/>
    <n v="499.99"/>
    <n v="999.98"/>
  </r>
  <r>
    <s v="ORD-7707"/>
    <x v="4"/>
    <s v="PROD-200"/>
    <x v="4"/>
    <x v="0"/>
    <n v="3"/>
    <x v="0"/>
    <s v="Smartphone X"/>
    <x v="0"/>
    <n v="999.99"/>
    <n v="2999.9700000000003"/>
  </r>
  <r>
    <s v="ORD-7708"/>
    <x v="1"/>
    <s v="PROD-205"/>
    <x v="4"/>
    <x v="2"/>
    <n v="1"/>
    <x v="1"/>
    <s v="4K Monitor"/>
    <x v="0"/>
    <n v="349.99"/>
    <n v="0"/>
  </r>
  <r>
    <s v="ORD-7709"/>
    <x v="5"/>
    <s v="PROD-206"/>
    <x v="3"/>
    <x v="1"/>
    <n v="3"/>
    <x v="0"/>
    <s v="Bluetooth Speaker"/>
    <x v="1"/>
    <n v="79.989999999999995"/>
    <n v="239.96999999999997"/>
  </r>
  <r>
    <s v="ORD-7710"/>
    <x v="0"/>
    <s v="PROD-200"/>
    <x v="1"/>
    <x v="0"/>
    <n v="3"/>
    <x v="0"/>
    <s v="Smartphone X"/>
    <x v="0"/>
    <n v="999.99"/>
    <n v="2999.9700000000003"/>
  </r>
  <r>
    <s v="ORD-7711"/>
    <x v="3"/>
    <s v="PROD-205"/>
    <x v="4"/>
    <x v="0"/>
    <n v="3"/>
    <x v="0"/>
    <s v="4K Monitor"/>
    <x v="0"/>
    <n v="349.99"/>
    <n v="1049.97"/>
  </r>
  <r>
    <s v="ORD-7712"/>
    <x v="4"/>
    <s v="PROD-204"/>
    <x v="3"/>
    <x v="2"/>
    <n v="1"/>
    <x v="1"/>
    <s v="Gaming Mouse"/>
    <x v="1"/>
    <n v="49.99"/>
    <n v="0"/>
  </r>
  <r>
    <s v="ORD-7713"/>
    <x v="1"/>
    <s v="PROD-204"/>
    <x v="0"/>
    <x v="3"/>
    <n v="3"/>
    <x v="0"/>
    <s v="Gaming Mouse"/>
    <x v="1"/>
    <n v="49.99"/>
    <n v="149.97"/>
  </r>
  <r>
    <s v="ORD-7714"/>
    <x v="0"/>
    <s v="PROD-202"/>
    <x v="2"/>
    <x v="3"/>
    <n v="3"/>
    <x v="0"/>
    <s v="Wireless Headphones"/>
    <x v="1"/>
    <n v="149.99"/>
    <n v="449.97"/>
  </r>
  <r>
    <s v="ORD-7715"/>
    <x v="0"/>
    <s v="PROD-201"/>
    <x v="0"/>
    <x v="1"/>
    <n v="3"/>
    <x v="0"/>
    <s v="Tablet Air"/>
    <x v="0"/>
    <n v="499.99"/>
    <n v="1499.97"/>
  </r>
  <r>
    <s v="ORD-7716"/>
    <x v="5"/>
    <s v="PROD-203"/>
    <x v="4"/>
    <x v="3"/>
    <n v="1"/>
    <x v="2"/>
    <s v="Mechanical Keyboard"/>
    <x v="1"/>
    <n v="89.99"/>
    <n v="89.99"/>
  </r>
  <r>
    <s v="ORD-7717"/>
    <x v="3"/>
    <s v="PROD-200"/>
    <x v="3"/>
    <x v="0"/>
    <n v="2"/>
    <x v="1"/>
    <s v="Smartphone X"/>
    <x v="0"/>
    <n v="999.99"/>
    <n v="0"/>
  </r>
  <r>
    <s v="ORD-7718"/>
    <x v="3"/>
    <s v="PROD-204"/>
    <x v="1"/>
    <x v="3"/>
    <n v="2"/>
    <x v="0"/>
    <s v="Gaming Mouse"/>
    <x v="1"/>
    <n v="49.99"/>
    <n v="99.98"/>
  </r>
  <r>
    <s v="ORD-7719"/>
    <x v="4"/>
    <s v="PROD-201"/>
    <x v="2"/>
    <x v="2"/>
    <n v="4"/>
    <x v="1"/>
    <s v="Tablet Air"/>
    <x v="0"/>
    <n v="499.99"/>
    <n v="0"/>
  </r>
  <r>
    <s v="ORD-7720"/>
    <x v="2"/>
    <s v="PROD-201"/>
    <x v="3"/>
    <x v="2"/>
    <n v="3"/>
    <x v="0"/>
    <s v="Tablet Air"/>
    <x v="0"/>
    <n v="499.99"/>
    <n v="1499.97"/>
  </r>
  <r>
    <s v="ORD-7721"/>
    <x v="4"/>
    <s v="PROD-206"/>
    <x v="0"/>
    <x v="2"/>
    <n v="1"/>
    <x v="0"/>
    <s v="Bluetooth Speaker"/>
    <x v="1"/>
    <n v="79.989999999999995"/>
    <n v="79.989999999999995"/>
  </r>
  <r>
    <s v="ORD-7722"/>
    <x v="4"/>
    <s v="PROD-201"/>
    <x v="3"/>
    <x v="2"/>
    <n v="1"/>
    <x v="2"/>
    <s v="Tablet Air"/>
    <x v="0"/>
    <n v="499.99"/>
    <n v="499.99"/>
  </r>
  <r>
    <s v="ORD-7723"/>
    <x v="5"/>
    <s v="PROD-204"/>
    <x v="1"/>
    <x v="2"/>
    <n v="2"/>
    <x v="2"/>
    <s v="Gaming Mouse"/>
    <x v="1"/>
    <n v="49.99"/>
    <n v="99.98"/>
  </r>
  <r>
    <s v="ORD-7724"/>
    <x v="1"/>
    <s v="PROD-201"/>
    <x v="2"/>
    <x v="0"/>
    <n v="2"/>
    <x v="0"/>
    <s v="Tablet Air"/>
    <x v="0"/>
    <n v="499.99"/>
    <n v="999.98"/>
  </r>
  <r>
    <s v="ORD-7725"/>
    <x v="4"/>
    <s v="PROD-207"/>
    <x v="2"/>
    <x v="3"/>
    <n v="2"/>
    <x v="0"/>
    <s v="Ergonomic Chair"/>
    <x v="2"/>
    <n v="249.99"/>
    <n v="499.98"/>
  </r>
  <r>
    <s v="ORD-7726"/>
    <x v="5"/>
    <s v="PROD-203"/>
    <x v="1"/>
    <x v="2"/>
    <n v="3"/>
    <x v="2"/>
    <s v="Mechanical Keyboard"/>
    <x v="1"/>
    <n v="89.99"/>
    <n v="269.96999999999997"/>
  </r>
  <r>
    <s v="ORD-7727"/>
    <x v="3"/>
    <s v="PROD-202"/>
    <x v="3"/>
    <x v="3"/>
    <n v="4"/>
    <x v="2"/>
    <s v="Wireless Headphones"/>
    <x v="1"/>
    <n v="149.99"/>
    <n v="599.96"/>
  </r>
  <r>
    <s v="ORD-7728"/>
    <x v="3"/>
    <s v="PROD-202"/>
    <x v="1"/>
    <x v="1"/>
    <n v="1"/>
    <x v="0"/>
    <s v="Wireless Headphones"/>
    <x v="1"/>
    <n v="149.99"/>
    <n v="149.99"/>
  </r>
  <r>
    <s v="ORD-7729"/>
    <x v="5"/>
    <s v="PROD-205"/>
    <x v="2"/>
    <x v="3"/>
    <n v="2"/>
    <x v="0"/>
    <s v="4K Monitor"/>
    <x v="0"/>
    <n v="349.99"/>
    <n v="699.98"/>
  </r>
  <r>
    <s v="ORD-7730"/>
    <x v="2"/>
    <s v="PROD-201"/>
    <x v="1"/>
    <x v="1"/>
    <n v="2"/>
    <x v="0"/>
    <s v="Tablet Air"/>
    <x v="0"/>
    <n v="499.99"/>
    <n v="999.98"/>
  </r>
  <r>
    <s v="ORD-7731"/>
    <x v="3"/>
    <s v="PROD-205"/>
    <x v="3"/>
    <x v="2"/>
    <n v="5"/>
    <x v="1"/>
    <s v="4K Monitor"/>
    <x v="0"/>
    <n v="349.99"/>
    <n v="0"/>
  </r>
  <r>
    <s v="ORD-7732"/>
    <x v="4"/>
    <s v="PROD-204"/>
    <x v="2"/>
    <x v="2"/>
    <n v="3"/>
    <x v="0"/>
    <s v="Gaming Mouse"/>
    <x v="1"/>
    <n v="49.99"/>
    <n v="149.97"/>
  </r>
  <r>
    <s v="ORD-7733"/>
    <x v="0"/>
    <s v="PROD-206"/>
    <x v="0"/>
    <x v="2"/>
    <n v="2"/>
    <x v="0"/>
    <s v="Bluetooth Speaker"/>
    <x v="1"/>
    <n v="79.989999999999995"/>
    <n v="159.97999999999999"/>
  </r>
  <r>
    <s v="ORD-7734"/>
    <x v="0"/>
    <s v="PROD-201"/>
    <x v="4"/>
    <x v="0"/>
    <n v="5"/>
    <x v="0"/>
    <s v="Tablet Air"/>
    <x v="0"/>
    <n v="499.99"/>
    <n v="2499.9499999999998"/>
  </r>
  <r>
    <s v="ORD-7735"/>
    <x v="1"/>
    <s v="PROD-203"/>
    <x v="0"/>
    <x v="1"/>
    <n v="3"/>
    <x v="0"/>
    <s v="Mechanical Keyboard"/>
    <x v="1"/>
    <n v="89.99"/>
    <n v="269.96999999999997"/>
  </r>
  <r>
    <s v="ORD-7736"/>
    <x v="4"/>
    <s v="PROD-207"/>
    <x v="4"/>
    <x v="2"/>
    <n v="2"/>
    <x v="2"/>
    <s v="Ergonomic Chair"/>
    <x v="2"/>
    <n v="249.99"/>
    <n v="499.98"/>
  </r>
  <r>
    <s v="ORD-7737"/>
    <x v="2"/>
    <s v="PROD-202"/>
    <x v="0"/>
    <x v="2"/>
    <n v="5"/>
    <x v="2"/>
    <s v="Wireless Headphones"/>
    <x v="1"/>
    <n v="149.99"/>
    <n v="749.95"/>
  </r>
  <r>
    <s v="ORD-7738"/>
    <x v="0"/>
    <s v="PROD-205"/>
    <x v="0"/>
    <x v="2"/>
    <n v="3"/>
    <x v="0"/>
    <s v="4K Monitor"/>
    <x v="0"/>
    <n v="349.99"/>
    <n v="1049.97"/>
  </r>
  <r>
    <s v="ORD-7739"/>
    <x v="1"/>
    <s v="PROD-204"/>
    <x v="0"/>
    <x v="2"/>
    <n v="1"/>
    <x v="0"/>
    <s v="Gaming Mouse"/>
    <x v="1"/>
    <n v="49.99"/>
    <n v="49.99"/>
  </r>
  <r>
    <s v="ORD-7740"/>
    <x v="2"/>
    <s v="PROD-207"/>
    <x v="2"/>
    <x v="2"/>
    <n v="2"/>
    <x v="0"/>
    <s v="Ergonomic Chair"/>
    <x v="2"/>
    <n v="249.99"/>
    <n v="499.98"/>
  </r>
  <r>
    <s v="ORD-7741"/>
    <x v="4"/>
    <s v="PROD-201"/>
    <x v="2"/>
    <x v="0"/>
    <n v="5"/>
    <x v="0"/>
    <s v="Tablet Air"/>
    <x v="0"/>
    <n v="499.99"/>
    <n v="2499.9499999999998"/>
  </r>
  <r>
    <s v="ORD-7742"/>
    <x v="0"/>
    <s v="PROD-200"/>
    <x v="4"/>
    <x v="1"/>
    <n v="5"/>
    <x v="1"/>
    <s v="Smartphone X"/>
    <x v="0"/>
    <n v="999.99"/>
    <n v="0"/>
  </r>
  <r>
    <s v="ORD-7743"/>
    <x v="4"/>
    <s v="PROD-202"/>
    <x v="2"/>
    <x v="2"/>
    <n v="5"/>
    <x v="0"/>
    <s v="Wireless Headphones"/>
    <x v="1"/>
    <n v="149.99"/>
    <n v="749.95"/>
  </r>
  <r>
    <s v="ORD-7744"/>
    <x v="2"/>
    <s v="PROD-200"/>
    <x v="3"/>
    <x v="0"/>
    <n v="4"/>
    <x v="0"/>
    <s v="Smartphone X"/>
    <x v="0"/>
    <n v="999.99"/>
    <n v="3999.96"/>
  </r>
  <r>
    <s v="ORD-7745"/>
    <x v="4"/>
    <s v="PROD-201"/>
    <x v="1"/>
    <x v="2"/>
    <n v="3"/>
    <x v="2"/>
    <s v="Tablet Air"/>
    <x v="0"/>
    <n v="499.99"/>
    <n v="1499.97"/>
  </r>
  <r>
    <s v="ORD-7746"/>
    <x v="5"/>
    <s v="PROD-203"/>
    <x v="3"/>
    <x v="2"/>
    <n v="5"/>
    <x v="0"/>
    <s v="Mechanical Keyboard"/>
    <x v="1"/>
    <n v="89.99"/>
    <n v="449.95"/>
  </r>
  <r>
    <s v="ORD-7747"/>
    <x v="1"/>
    <s v="PROD-205"/>
    <x v="2"/>
    <x v="2"/>
    <n v="5"/>
    <x v="0"/>
    <s v="4K Monitor"/>
    <x v="0"/>
    <n v="349.99"/>
    <n v="1749.95"/>
  </r>
  <r>
    <s v="ORD-7748"/>
    <x v="0"/>
    <s v="PROD-207"/>
    <x v="0"/>
    <x v="3"/>
    <n v="2"/>
    <x v="0"/>
    <s v="Ergonomic Chair"/>
    <x v="2"/>
    <n v="249.99"/>
    <n v="499.98"/>
  </r>
  <r>
    <s v="ORD-7749"/>
    <x v="4"/>
    <s v="PROD-203"/>
    <x v="0"/>
    <x v="2"/>
    <n v="4"/>
    <x v="1"/>
    <s v="Mechanical Keyboard"/>
    <x v="1"/>
    <n v="89.99"/>
    <n v="0"/>
  </r>
  <r>
    <s v="ORD-7750"/>
    <x v="1"/>
    <s v="PROD-206"/>
    <x v="1"/>
    <x v="0"/>
    <n v="2"/>
    <x v="0"/>
    <s v="Bluetooth Speaker"/>
    <x v="1"/>
    <n v="79.989999999999995"/>
    <n v="159.97999999999999"/>
  </r>
  <r>
    <s v="ORD-7751"/>
    <x v="1"/>
    <s v="PROD-207"/>
    <x v="3"/>
    <x v="1"/>
    <n v="3"/>
    <x v="0"/>
    <s v="Ergonomic Chair"/>
    <x v="2"/>
    <n v="249.99"/>
    <n v="749.97"/>
  </r>
  <r>
    <s v="ORD-7752"/>
    <x v="4"/>
    <s v="PROD-202"/>
    <x v="0"/>
    <x v="0"/>
    <n v="3"/>
    <x v="0"/>
    <s v="Wireless Headphones"/>
    <x v="1"/>
    <n v="149.99"/>
    <n v="449.97"/>
  </r>
  <r>
    <s v="ORD-7753"/>
    <x v="2"/>
    <s v="PROD-203"/>
    <x v="0"/>
    <x v="3"/>
    <n v="5"/>
    <x v="0"/>
    <s v="Mechanical Keyboard"/>
    <x v="1"/>
    <n v="89.99"/>
    <n v="449.95"/>
  </r>
  <r>
    <s v="ORD-7754"/>
    <x v="1"/>
    <s v="PROD-207"/>
    <x v="3"/>
    <x v="0"/>
    <n v="3"/>
    <x v="2"/>
    <s v="Ergonomic Chair"/>
    <x v="2"/>
    <n v="249.99"/>
    <n v="749.97"/>
  </r>
  <r>
    <s v="ORD-7755"/>
    <x v="2"/>
    <s v="PROD-205"/>
    <x v="4"/>
    <x v="2"/>
    <n v="3"/>
    <x v="2"/>
    <s v="4K Monitor"/>
    <x v="0"/>
    <n v="349.99"/>
    <n v="1049.97"/>
  </r>
  <r>
    <s v="ORD-7756"/>
    <x v="1"/>
    <s v="PROD-204"/>
    <x v="4"/>
    <x v="0"/>
    <n v="4"/>
    <x v="0"/>
    <s v="Gaming Mouse"/>
    <x v="1"/>
    <n v="49.99"/>
    <n v="199.96"/>
  </r>
  <r>
    <s v="ORD-7757"/>
    <x v="2"/>
    <s v="PROD-207"/>
    <x v="2"/>
    <x v="1"/>
    <n v="1"/>
    <x v="0"/>
    <s v="Ergonomic Chair"/>
    <x v="2"/>
    <n v="249.99"/>
    <n v="249.99"/>
  </r>
  <r>
    <s v="ORD-7758"/>
    <x v="4"/>
    <s v="PROD-201"/>
    <x v="3"/>
    <x v="0"/>
    <n v="4"/>
    <x v="0"/>
    <s v="Tablet Air"/>
    <x v="0"/>
    <n v="499.99"/>
    <n v="1999.96"/>
  </r>
  <r>
    <s v="ORD-7759"/>
    <x v="2"/>
    <s v="PROD-200"/>
    <x v="4"/>
    <x v="2"/>
    <n v="5"/>
    <x v="0"/>
    <s v="Smartphone X"/>
    <x v="0"/>
    <n v="999.99"/>
    <n v="4999.95"/>
  </r>
  <r>
    <s v="ORD-7760"/>
    <x v="2"/>
    <s v="PROD-200"/>
    <x v="3"/>
    <x v="2"/>
    <n v="3"/>
    <x v="0"/>
    <s v="Smartphone X"/>
    <x v="0"/>
    <n v="999.99"/>
    <n v="2999.9700000000003"/>
  </r>
  <r>
    <s v="ORD-7761"/>
    <x v="3"/>
    <s v="PROD-205"/>
    <x v="0"/>
    <x v="1"/>
    <n v="4"/>
    <x v="1"/>
    <s v="4K Monitor"/>
    <x v="0"/>
    <n v="349.99"/>
    <n v="0"/>
  </r>
  <r>
    <s v="ORD-7762"/>
    <x v="1"/>
    <s v="PROD-206"/>
    <x v="2"/>
    <x v="0"/>
    <n v="4"/>
    <x v="0"/>
    <s v="Bluetooth Speaker"/>
    <x v="1"/>
    <n v="79.989999999999995"/>
    <n v="319.95999999999998"/>
  </r>
  <r>
    <s v="ORD-7763"/>
    <x v="2"/>
    <s v="PROD-204"/>
    <x v="2"/>
    <x v="3"/>
    <n v="5"/>
    <x v="0"/>
    <s v="Gaming Mouse"/>
    <x v="1"/>
    <n v="49.99"/>
    <n v="249.95000000000002"/>
  </r>
  <r>
    <s v="ORD-7764"/>
    <x v="0"/>
    <s v="PROD-203"/>
    <x v="4"/>
    <x v="1"/>
    <n v="1"/>
    <x v="1"/>
    <s v="Mechanical Keyboard"/>
    <x v="1"/>
    <n v="89.99"/>
    <n v="0"/>
  </r>
  <r>
    <s v="ORD-7765"/>
    <x v="1"/>
    <s v="PROD-204"/>
    <x v="1"/>
    <x v="1"/>
    <n v="1"/>
    <x v="0"/>
    <s v="Gaming Mouse"/>
    <x v="1"/>
    <n v="49.99"/>
    <n v="49.99"/>
  </r>
  <r>
    <s v="ORD-7766"/>
    <x v="2"/>
    <s v="PROD-204"/>
    <x v="4"/>
    <x v="0"/>
    <n v="3"/>
    <x v="2"/>
    <s v="Gaming Mouse"/>
    <x v="1"/>
    <n v="49.99"/>
    <n v="149.97"/>
  </r>
  <r>
    <s v="ORD-7767"/>
    <x v="3"/>
    <s v="PROD-201"/>
    <x v="3"/>
    <x v="3"/>
    <n v="2"/>
    <x v="0"/>
    <s v="Tablet Air"/>
    <x v="0"/>
    <n v="499.99"/>
    <n v="999.98"/>
  </r>
  <r>
    <s v="ORD-7768"/>
    <x v="4"/>
    <s v="PROD-202"/>
    <x v="1"/>
    <x v="0"/>
    <n v="4"/>
    <x v="0"/>
    <s v="Wireless Headphones"/>
    <x v="1"/>
    <n v="149.99"/>
    <n v="599.96"/>
  </r>
  <r>
    <s v="ORD-7769"/>
    <x v="5"/>
    <s v="PROD-200"/>
    <x v="2"/>
    <x v="2"/>
    <n v="3"/>
    <x v="0"/>
    <s v="Smartphone X"/>
    <x v="0"/>
    <n v="999.99"/>
    <n v="2999.9700000000003"/>
  </r>
  <r>
    <s v="ORD-7770"/>
    <x v="5"/>
    <s v="PROD-201"/>
    <x v="1"/>
    <x v="3"/>
    <n v="3"/>
    <x v="0"/>
    <s v="Tablet Air"/>
    <x v="0"/>
    <n v="499.99"/>
    <n v="1499.97"/>
  </r>
  <r>
    <s v="ORD-7771"/>
    <x v="0"/>
    <s v="PROD-205"/>
    <x v="3"/>
    <x v="0"/>
    <n v="1"/>
    <x v="0"/>
    <s v="4K Monitor"/>
    <x v="0"/>
    <n v="349.99"/>
    <n v="349.99"/>
  </r>
  <r>
    <s v="ORD-7772"/>
    <x v="2"/>
    <s v="PROD-205"/>
    <x v="2"/>
    <x v="1"/>
    <n v="2"/>
    <x v="1"/>
    <s v="4K Monitor"/>
    <x v="0"/>
    <n v="349.99"/>
    <n v="0"/>
  </r>
  <r>
    <s v="ORD-7773"/>
    <x v="3"/>
    <s v="PROD-203"/>
    <x v="1"/>
    <x v="2"/>
    <n v="3"/>
    <x v="0"/>
    <s v="Mechanical Keyboard"/>
    <x v="1"/>
    <n v="89.99"/>
    <n v="269.96999999999997"/>
  </r>
  <r>
    <s v="ORD-7774"/>
    <x v="3"/>
    <s v="PROD-202"/>
    <x v="3"/>
    <x v="3"/>
    <n v="1"/>
    <x v="1"/>
    <s v="Wireless Headphones"/>
    <x v="1"/>
    <n v="149.99"/>
    <n v="0"/>
  </r>
  <r>
    <s v="ORD-7775"/>
    <x v="0"/>
    <s v="PROD-203"/>
    <x v="2"/>
    <x v="2"/>
    <n v="2"/>
    <x v="2"/>
    <s v="Mechanical Keyboard"/>
    <x v="1"/>
    <n v="89.99"/>
    <n v="179.98"/>
  </r>
  <r>
    <s v="ORD-7776"/>
    <x v="3"/>
    <s v="PROD-206"/>
    <x v="2"/>
    <x v="0"/>
    <n v="3"/>
    <x v="0"/>
    <s v="Bluetooth Speaker"/>
    <x v="1"/>
    <n v="79.989999999999995"/>
    <n v="239.96999999999997"/>
  </r>
  <r>
    <s v="ORD-7777"/>
    <x v="0"/>
    <s v="PROD-202"/>
    <x v="0"/>
    <x v="1"/>
    <n v="3"/>
    <x v="2"/>
    <s v="Wireless Headphones"/>
    <x v="1"/>
    <n v="149.99"/>
    <n v="449.97"/>
  </r>
  <r>
    <s v="ORD-7778"/>
    <x v="0"/>
    <s v="PROD-203"/>
    <x v="4"/>
    <x v="1"/>
    <n v="4"/>
    <x v="1"/>
    <s v="Mechanical Keyboard"/>
    <x v="1"/>
    <n v="89.99"/>
    <n v="0"/>
  </r>
  <r>
    <s v="ORD-7779"/>
    <x v="3"/>
    <s v="PROD-200"/>
    <x v="1"/>
    <x v="0"/>
    <n v="2"/>
    <x v="0"/>
    <s v="Smartphone X"/>
    <x v="0"/>
    <n v="999.99"/>
    <n v="1999.98"/>
  </r>
  <r>
    <s v="ORD-7780"/>
    <x v="3"/>
    <s v="PROD-200"/>
    <x v="0"/>
    <x v="1"/>
    <n v="5"/>
    <x v="0"/>
    <s v="Smartphone X"/>
    <x v="0"/>
    <n v="999.99"/>
    <n v="4999.95"/>
  </r>
  <r>
    <s v="ORD-7781"/>
    <x v="3"/>
    <s v="PROD-200"/>
    <x v="3"/>
    <x v="3"/>
    <n v="3"/>
    <x v="1"/>
    <s v="Smartphone X"/>
    <x v="0"/>
    <n v="999.99"/>
    <n v="0"/>
  </r>
  <r>
    <s v="ORD-7782"/>
    <x v="1"/>
    <s v="PROD-205"/>
    <x v="2"/>
    <x v="3"/>
    <n v="5"/>
    <x v="2"/>
    <s v="4K Monitor"/>
    <x v="0"/>
    <n v="349.99"/>
    <n v="1749.95"/>
  </r>
  <r>
    <s v="ORD-7783"/>
    <x v="3"/>
    <s v="PROD-200"/>
    <x v="1"/>
    <x v="0"/>
    <n v="2"/>
    <x v="2"/>
    <s v="Smartphone X"/>
    <x v="0"/>
    <n v="999.99"/>
    <n v="1999.98"/>
  </r>
  <r>
    <s v="ORD-7784"/>
    <x v="1"/>
    <s v="PROD-206"/>
    <x v="3"/>
    <x v="3"/>
    <n v="2"/>
    <x v="0"/>
    <s v="Bluetooth Speaker"/>
    <x v="1"/>
    <n v="79.989999999999995"/>
    <n v="159.97999999999999"/>
  </r>
  <r>
    <s v="ORD-7785"/>
    <x v="4"/>
    <s v="PROD-207"/>
    <x v="3"/>
    <x v="3"/>
    <n v="1"/>
    <x v="0"/>
    <s v="Ergonomic Chair"/>
    <x v="2"/>
    <n v="249.99"/>
    <n v="249.99"/>
  </r>
  <r>
    <s v="ORD-7786"/>
    <x v="1"/>
    <s v="PROD-204"/>
    <x v="1"/>
    <x v="3"/>
    <n v="3"/>
    <x v="2"/>
    <s v="Gaming Mouse"/>
    <x v="1"/>
    <n v="49.99"/>
    <n v="149.97"/>
  </r>
  <r>
    <s v="ORD-7787"/>
    <x v="3"/>
    <s v="PROD-205"/>
    <x v="0"/>
    <x v="2"/>
    <n v="5"/>
    <x v="1"/>
    <s v="4K Monitor"/>
    <x v="0"/>
    <n v="349.99"/>
    <n v="0"/>
  </r>
  <r>
    <s v="ORD-7788"/>
    <x v="1"/>
    <s v="PROD-203"/>
    <x v="0"/>
    <x v="0"/>
    <n v="1"/>
    <x v="0"/>
    <s v="Mechanical Keyboard"/>
    <x v="1"/>
    <n v="89.99"/>
    <n v="89.99"/>
  </r>
  <r>
    <s v="ORD-7789"/>
    <x v="5"/>
    <s v="PROD-203"/>
    <x v="3"/>
    <x v="0"/>
    <n v="2"/>
    <x v="0"/>
    <s v="Mechanical Keyboard"/>
    <x v="1"/>
    <n v="89.99"/>
    <n v="179.98"/>
  </r>
  <r>
    <s v="ORD-7790"/>
    <x v="4"/>
    <s v="PROD-206"/>
    <x v="3"/>
    <x v="0"/>
    <n v="2"/>
    <x v="0"/>
    <s v="Bluetooth Speaker"/>
    <x v="1"/>
    <n v="79.989999999999995"/>
    <n v="159.97999999999999"/>
  </r>
  <r>
    <s v="ORD-7791"/>
    <x v="5"/>
    <s v="PROD-203"/>
    <x v="4"/>
    <x v="2"/>
    <n v="5"/>
    <x v="0"/>
    <s v="Mechanical Keyboard"/>
    <x v="1"/>
    <n v="89.99"/>
    <n v="449.95"/>
  </r>
  <r>
    <s v="ORD-7792"/>
    <x v="4"/>
    <s v="PROD-204"/>
    <x v="4"/>
    <x v="0"/>
    <n v="4"/>
    <x v="2"/>
    <s v="Gaming Mouse"/>
    <x v="1"/>
    <n v="49.99"/>
    <n v="199.96"/>
  </r>
  <r>
    <s v="ORD-7793"/>
    <x v="1"/>
    <s v="PROD-203"/>
    <x v="0"/>
    <x v="1"/>
    <n v="4"/>
    <x v="0"/>
    <s v="Mechanical Keyboard"/>
    <x v="1"/>
    <n v="89.99"/>
    <n v="359.96"/>
  </r>
  <r>
    <s v="ORD-7794"/>
    <x v="2"/>
    <s v="PROD-201"/>
    <x v="4"/>
    <x v="0"/>
    <n v="5"/>
    <x v="0"/>
    <s v="Tablet Air"/>
    <x v="0"/>
    <n v="499.99"/>
    <n v="2499.9499999999998"/>
  </r>
  <r>
    <s v="ORD-7795"/>
    <x v="5"/>
    <s v="PROD-205"/>
    <x v="1"/>
    <x v="0"/>
    <n v="4"/>
    <x v="1"/>
    <s v="4K Monitor"/>
    <x v="0"/>
    <n v="349.99"/>
    <n v="0"/>
  </r>
  <r>
    <s v="ORD-7796"/>
    <x v="5"/>
    <s v="PROD-200"/>
    <x v="2"/>
    <x v="3"/>
    <n v="2"/>
    <x v="0"/>
    <s v="Smartphone X"/>
    <x v="0"/>
    <n v="999.99"/>
    <n v="1999.98"/>
  </r>
  <r>
    <s v="ORD-7797"/>
    <x v="1"/>
    <s v="PROD-200"/>
    <x v="0"/>
    <x v="0"/>
    <n v="5"/>
    <x v="0"/>
    <s v="Smartphone X"/>
    <x v="0"/>
    <n v="999.99"/>
    <n v="4999.95"/>
  </r>
  <r>
    <s v="ORD-7798"/>
    <x v="3"/>
    <s v="PROD-201"/>
    <x v="4"/>
    <x v="3"/>
    <n v="5"/>
    <x v="0"/>
    <s v="Tablet Air"/>
    <x v="0"/>
    <n v="499.99"/>
    <n v="2499.9499999999998"/>
  </r>
  <r>
    <s v="ORD-7799"/>
    <x v="2"/>
    <s v="PROD-201"/>
    <x v="4"/>
    <x v="3"/>
    <n v="2"/>
    <x v="0"/>
    <s v="Tablet Air"/>
    <x v="0"/>
    <n v="499.99"/>
    <n v="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3CF96-05AD-4C85-8C76-448124C59108}"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location ref="B134:C139" firstHeaderRow="1" firstDataRow="1" firstDataCol="1"/>
  <pivotFields count="11">
    <pivotField showAll="0"/>
    <pivotField multipleItemSelectionAllowed="1" showAll="0"/>
    <pivotField showAll="0"/>
    <pivotField showAll="0"/>
    <pivotField axis="axisRow" showAll="0">
      <items count="5">
        <item x="3"/>
        <item x="2"/>
        <item x="0"/>
        <item x="1"/>
        <item t="default"/>
      </items>
    </pivotField>
    <pivotField showAll="0"/>
    <pivotField showAll="0">
      <items count="4">
        <item x="1"/>
        <item x="0"/>
        <item x="2"/>
        <item t="default"/>
      </items>
    </pivotField>
    <pivotField showAll="0"/>
    <pivotField showAll="0"/>
    <pivotField showAll="0"/>
    <pivotField dataField="1" showAll="0"/>
  </pivotFields>
  <rowFields count="1">
    <field x="4"/>
  </rowFields>
  <rowItems count="5">
    <i>
      <x/>
    </i>
    <i>
      <x v="1"/>
    </i>
    <i>
      <x v="2"/>
    </i>
    <i>
      <x v="3"/>
    </i>
    <i t="grand">
      <x/>
    </i>
  </rowItems>
  <colItems count="1">
    <i/>
  </colItems>
  <dataFields count="1">
    <dataField name="Sum of Total Revenue " fld="10" baseField="0" baseItem="0"/>
  </dataFields>
  <chartFormats count="10">
    <chartFormat chart="26" format="355" series="1">
      <pivotArea type="data" outline="0" fieldPosition="0">
        <references count="1">
          <reference field="4294967294" count="1" selected="0">
            <x v="0"/>
          </reference>
        </references>
      </pivotArea>
    </chartFormat>
    <chartFormat chart="0" format="275" series="1">
      <pivotArea type="data" outline="0" fieldPosition="0">
        <references count="1">
          <reference field="4294967294" count="1" selected="0">
            <x v="0"/>
          </reference>
        </references>
      </pivotArea>
    </chartFormat>
    <chartFormat chart="26" format="356">
      <pivotArea type="data" outline="0" fieldPosition="0">
        <references count="2">
          <reference field="4294967294" count="1" selected="0">
            <x v="0"/>
          </reference>
          <reference field="4" count="1" selected="0">
            <x v="1"/>
          </reference>
        </references>
      </pivotArea>
    </chartFormat>
    <chartFormat chart="26" format="357">
      <pivotArea type="data" outline="0" fieldPosition="0">
        <references count="2">
          <reference field="4294967294" count="1" selected="0">
            <x v="0"/>
          </reference>
          <reference field="4" count="1" selected="0">
            <x v="0"/>
          </reference>
        </references>
      </pivotArea>
    </chartFormat>
    <chartFormat chart="26" format="358">
      <pivotArea type="data" outline="0" fieldPosition="0">
        <references count="2">
          <reference field="4294967294" count="1" selected="0">
            <x v="0"/>
          </reference>
          <reference field="4" count="1" selected="0">
            <x v="2"/>
          </reference>
        </references>
      </pivotArea>
    </chartFormat>
    <chartFormat chart="26" format="359">
      <pivotArea type="data" outline="0" fieldPosition="0">
        <references count="2">
          <reference field="4294967294" count="1" selected="0">
            <x v="0"/>
          </reference>
          <reference field="4" count="1" selected="0">
            <x v="3"/>
          </reference>
        </references>
      </pivotArea>
    </chartFormat>
    <chartFormat chart="0" format="276">
      <pivotArea type="data" outline="0" fieldPosition="0">
        <references count="2">
          <reference field="4294967294" count="1" selected="0">
            <x v="0"/>
          </reference>
          <reference field="4" count="1" selected="0">
            <x v="0"/>
          </reference>
        </references>
      </pivotArea>
    </chartFormat>
    <chartFormat chart="0" format="277">
      <pivotArea type="data" outline="0" fieldPosition="0">
        <references count="2">
          <reference field="4294967294" count="1" selected="0">
            <x v="0"/>
          </reference>
          <reference field="4" count="1" selected="0">
            <x v="1"/>
          </reference>
        </references>
      </pivotArea>
    </chartFormat>
    <chartFormat chart="0" format="278">
      <pivotArea type="data" outline="0" fieldPosition="0">
        <references count="2">
          <reference field="4294967294" count="1" selected="0">
            <x v="0"/>
          </reference>
          <reference field="4" count="1" selected="0">
            <x v="2"/>
          </reference>
        </references>
      </pivotArea>
    </chartFormat>
    <chartFormat chart="0" format="27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E216F5-89E6-406D-B741-71A5AEF62706}"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B80:C86" firstHeaderRow="1" firstDataRow="1" firstDataCol="1"/>
  <pivotFields count="11">
    <pivotField showAll="0"/>
    <pivotField showAll="0"/>
    <pivotField showAll="0"/>
    <pivotField axis="axisRow" showAll="0" measureFilter="1"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items count="5">
        <item x="3"/>
        <item x="2"/>
        <item x="0"/>
        <item x="1"/>
        <item t="default"/>
      </items>
    </pivotField>
    <pivotField showAll="0"/>
    <pivotField showAll="0">
      <items count="4">
        <item x="1"/>
        <item x="0"/>
        <item x="2"/>
        <item t="default"/>
      </items>
    </pivotField>
    <pivotField showAll="0"/>
    <pivotField showAll="0"/>
    <pivotField showAll="0"/>
    <pivotField dataField="1" showAll="0"/>
  </pivotFields>
  <rowFields count="1">
    <field x="3"/>
  </rowFields>
  <rowItems count="6">
    <i>
      <x v="4"/>
    </i>
    <i>
      <x v="1"/>
    </i>
    <i>
      <x v="3"/>
    </i>
    <i>
      <x/>
    </i>
    <i>
      <x v="2"/>
    </i>
    <i t="grand">
      <x/>
    </i>
  </rowItems>
  <colItems count="1">
    <i/>
  </colItems>
  <dataFields count="1">
    <dataField name="Sum of Total Revenue " fld="1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3"/>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6073CF-1897-46A5-9D58-374B38E68EC4}"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B31:C35" firstHeaderRow="1" firstDataRow="1" firstDataCol="1"/>
  <pivotFields count="11">
    <pivotField showAll="0"/>
    <pivotField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axis="axisRow" showAll="0">
      <items count="4">
        <item x="0"/>
        <item x="1"/>
        <item x="2"/>
        <item t="default"/>
      </items>
    </pivotField>
    <pivotField showAll="0"/>
    <pivotField dataField="1" showAll="0"/>
  </pivotFields>
  <rowFields count="1">
    <field x="8"/>
  </rowFields>
  <rowItems count="4">
    <i>
      <x/>
    </i>
    <i>
      <x v="1"/>
    </i>
    <i>
      <x v="2"/>
    </i>
    <i t="grand">
      <x/>
    </i>
  </rowItems>
  <colItems count="1">
    <i/>
  </colItems>
  <dataFields count="1">
    <dataField name="Sum of Total Revenue " fld="10" baseField="0" baseItem="0"/>
  </dataFields>
  <chartFormats count="2">
    <chartFormat chart="24" format="1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2A06E1-99B9-481C-A7D4-1888C23B8F34}"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A3:C10" firstHeaderRow="0" firstDataRow="1" firstDataCol="1"/>
  <pivotFields count="11">
    <pivotField dataField="1" showAll="0"/>
    <pivotField axis="axisRow" showAll="0">
      <items count="7">
        <item x="3"/>
        <item x="1"/>
        <item x="4"/>
        <item x="0"/>
        <item x="2"/>
        <item x="5"/>
        <item t="default"/>
      </items>
    </pivotField>
    <pivotField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showAll="0"/>
    <pivotField dataField="1" showAll="0"/>
  </pivotFields>
  <rowFields count="1">
    <field x="1"/>
  </rowFields>
  <rowItems count="7">
    <i>
      <x/>
    </i>
    <i>
      <x v="1"/>
    </i>
    <i>
      <x v="2"/>
    </i>
    <i>
      <x v="3"/>
    </i>
    <i>
      <x v="4"/>
    </i>
    <i>
      <x v="5"/>
    </i>
    <i t="grand">
      <x/>
    </i>
  </rowItems>
  <colFields count="1">
    <field x="-2"/>
  </colFields>
  <colItems count="2">
    <i>
      <x/>
    </i>
    <i i="1">
      <x v="1"/>
    </i>
  </colItems>
  <dataFields count="2">
    <dataField name="Sum of Total Revenue " fld="10" baseField="0" baseItem="0"/>
    <dataField name="Count of Order ID" fld="0" subtotal="count" baseField="0" baseItem="0"/>
  </dataFields>
  <chartFormats count="4">
    <chartFormat chart="30" format="26"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30" format="27"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A8B268-BFF1-45CC-BBEB-3D464CA4A93E}" sourceName="Region">
  <pivotTables>
    <pivotTable tabId="6" name="PivotTable11"/>
    <pivotTable tabId="6" name="PivotTable13"/>
    <pivotTable tabId="6" name="PivotTable15"/>
    <pivotTable tabId="6" name="PivotTable16"/>
  </pivotTables>
  <data>
    <tabular pivotCacheId="1865909265">
      <items count="4">
        <i x="3" s="1"/>
        <i x="2"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1D5B06CC-E918-4066-91C0-19137464A56B}" sourceName="Order Status">
  <pivotTables>
    <pivotTable tabId="6" name="PivotTable11"/>
    <pivotTable tabId="6" name="PivotTable13"/>
    <pivotTable tabId="6" name="PivotTable15"/>
    <pivotTable tabId="6" name="PivotTable16"/>
  </pivotTables>
  <data>
    <tabular pivotCacheId="1865909265">
      <items count="3">
        <i x="1" s="1"/>
        <i x="0"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88DE7AB-C23D-4F2C-9CC2-351D82B62506}" cache="Slicer_Region" caption="Region" style="SlicerStyleLight1" rowHeight="234950"/>
  <slicer name="Order Status" xr10:uid="{23A2A6CB-EC77-4AAD-B0C1-B9C9CECDA011}" cache="Slicer_Order_Status" caption="Order Status"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4CE2070-0A10-4E99-AE73-BB93E4101490}" cache="Slicer_Region" caption="Region" showCaption="0" rowHeight="365760"/>
  <slicer name="Order Status 1" xr10:uid="{4E32C596-9B7C-45BB-9CDB-9801D9334433}" cache="Slicer_Order_Status" caption="Order Status" showCaption="0" rowHeight="36576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499984740745262"/>
  </sheetPr>
  <dimension ref="A1:A1000"/>
  <sheetViews>
    <sheetView topLeftCell="B1" zoomScale="99" workbookViewId="0">
      <selection activeCell="A16" sqref="A16"/>
    </sheetView>
  </sheetViews>
  <sheetFormatPr defaultColWidth="14.44140625" defaultRowHeight="15" customHeight="1" x14ac:dyDescent="0.3"/>
  <cols>
    <col min="1" max="1" width="111.5546875" bestFit="1" customWidth="1"/>
    <col min="2" max="26" width="8.6640625" customWidth="1"/>
  </cols>
  <sheetData>
    <row r="1" spans="1:1" ht="14.25" customHeight="1" x14ac:dyDescent="0.3">
      <c r="A1" s="3" t="s">
        <v>2</v>
      </c>
    </row>
    <row r="2" spans="1:1" ht="14.25" customHeight="1" x14ac:dyDescent="0.3"/>
    <row r="3" spans="1:1" ht="14.25" customHeight="1" x14ac:dyDescent="0.3">
      <c r="A3" s="4" t="s">
        <v>850</v>
      </c>
    </row>
    <row r="4" spans="1:1" ht="14.25" customHeight="1" x14ac:dyDescent="0.3"/>
    <row r="5" spans="1:1" ht="14.25" customHeight="1" x14ac:dyDescent="0.3">
      <c r="A5" s="2" t="s">
        <v>11</v>
      </c>
    </row>
    <row r="6" spans="1:1" ht="14.25" customHeight="1" x14ac:dyDescent="0.3">
      <c r="A6" s="4" t="s">
        <v>851</v>
      </c>
    </row>
    <row r="7" spans="1:1" ht="14.25" customHeight="1" x14ac:dyDescent="0.3">
      <c r="A7" s="4" t="s">
        <v>852</v>
      </c>
    </row>
    <row r="8" spans="1:1" ht="14.25" customHeight="1" x14ac:dyDescent="0.3">
      <c r="A8" s="4" t="s">
        <v>853</v>
      </c>
    </row>
    <row r="9" spans="1:1" ht="14.25" customHeight="1" x14ac:dyDescent="0.3"/>
    <row r="10" spans="1:1" ht="14.25" customHeight="1" x14ac:dyDescent="0.3">
      <c r="A10" s="5" t="s">
        <v>16</v>
      </c>
    </row>
    <row r="11" spans="1:1" ht="14.25" customHeight="1" x14ac:dyDescent="0.3"/>
    <row r="12" spans="1:1" ht="14.25" customHeight="1" x14ac:dyDescent="0.3"/>
    <row r="13" spans="1:1" ht="14.25" customHeight="1" x14ac:dyDescent="0.3"/>
    <row r="14" spans="1:1" ht="14.25" customHeight="1" x14ac:dyDescent="0.3"/>
    <row r="15" spans="1:1" ht="14.25" customHeight="1" x14ac:dyDescent="0.3"/>
    <row r="16" spans="1:1"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A5BB-E60F-4992-A654-E8022015C273}">
  <sheetPr>
    <tabColor theme="7" tint="-0.249977111117893"/>
  </sheetPr>
  <dimension ref="A1:F139"/>
  <sheetViews>
    <sheetView topLeftCell="A21" workbookViewId="0">
      <selection activeCell="C31" sqref="C31"/>
    </sheetView>
  </sheetViews>
  <sheetFormatPr defaultRowHeight="14.4" x14ac:dyDescent="0.3"/>
  <cols>
    <col min="1" max="2" width="12.5546875" bestFit="1" customWidth="1"/>
    <col min="3" max="3" width="20.109375" bestFit="1" customWidth="1"/>
    <col min="4" max="5" width="10.77734375" bestFit="1" customWidth="1"/>
    <col min="6" max="6" width="20.109375" bestFit="1" customWidth="1"/>
    <col min="7" max="14" width="9.33203125" bestFit="1" customWidth="1"/>
    <col min="15" max="15" width="12.5546875" bestFit="1" customWidth="1"/>
    <col min="16" max="16" width="20.109375" bestFit="1" customWidth="1"/>
    <col min="17" max="17" width="15.88671875" bestFit="1" customWidth="1"/>
    <col min="18" max="802" width="9.33203125" bestFit="1" customWidth="1"/>
    <col min="803" max="803" width="7" bestFit="1" customWidth="1"/>
    <col min="804" max="804" width="10.77734375" bestFit="1" customWidth="1"/>
  </cols>
  <sheetData>
    <row r="1" spans="1:3" s="9" customFormat="1" x14ac:dyDescent="0.3">
      <c r="A1" s="9" t="s">
        <v>856</v>
      </c>
      <c r="B1"/>
      <c r="C1"/>
    </row>
    <row r="3" spans="1:3" x14ac:dyDescent="0.3">
      <c r="A3" s="11" t="s">
        <v>860</v>
      </c>
      <c r="B3" t="s">
        <v>862</v>
      </c>
      <c r="C3" t="s">
        <v>863</v>
      </c>
    </row>
    <row r="4" spans="1:3" x14ac:dyDescent="0.3">
      <c r="A4" s="12" t="s">
        <v>54</v>
      </c>
      <c r="B4" s="13">
        <v>99306.659999999989</v>
      </c>
      <c r="C4" s="13">
        <v>133</v>
      </c>
    </row>
    <row r="5" spans="1:3" x14ac:dyDescent="0.3">
      <c r="A5" s="12" t="s">
        <v>27</v>
      </c>
      <c r="B5" s="13">
        <v>119716.11000000004</v>
      </c>
      <c r="C5" s="13">
        <v>155</v>
      </c>
    </row>
    <row r="6" spans="1:3" x14ac:dyDescent="0.3">
      <c r="A6" s="12" t="s">
        <v>56</v>
      </c>
      <c r="B6" s="13">
        <v>110296.77000000005</v>
      </c>
      <c r="C6" s="13">
        <v>134</v>
      </c>
    </row>
    <row r="7" spans="1:3" x14ac:dyDescent="0.3">
      <c r="A7" s="12" t="s">
        <v>17</v>
      </c>
      <c r="B7" s="13">
        <v>97566.91</v>
      </c>
      <c r="C7" s="13">
        <v>125</v>
      </c>
    </row>
    <row r="8" spans="1:3" x14ac:dyDescent="0.3">
      <c r="A8" s="12" t="s">
        <v>34</v>
      </c>
      <c r="B8" s="13">
        <v>96777.180000000022</v>
      </c>
      <c r="C8" s="13">
        <v>123</v>
      </c>
    </row>
    <row r="9" spans="1:3" x14ac:dyDescent="0.3">
      <c r="A9" s="12" t="s">
        <v>58</v>
      </c>
      <c r="B9" s="13">
        <v>87766.750000000029</v>
      </c>
      <c r="C9" s="13">
        <v>130</v>
      </c>
    </row>
    <row r="10" spans="1:3" x14ac:dyDescent="0.3">
      <c r="A10" s="12" t="s">
        <v>861</v>
      </c>
      <c r="B10" s="13">
        <v>611430.37999999512</v>
      </c>
      <c r="C10" s="13">
        <v>800</v>
      </c>
    </row>
    <row r="29" spans="1:6" x14ac:dyDescent="0.3">
      <c r="A29" s="17" t="s">
        <v>857</v>
      </c>
      <c r="B29" s="17"/>
      <c r="C29" s="17"/>
      <c r="D29" s="17"/>
      <c r="E29" s="17"/>
      <c r="F29" s="17"/>
    </row>
    <row r="31" spans="1:6" x14ac:dyDescent="0.3">
      <c r="B31" s="11" t="s">
        <v>860</v>
      </c>
      <c r="C31" t="s">
        <v>862</v>
      </c>
    </row>
    <row r="32" spans="1:6" x14ac:dyDescent="0.3">
      <c r="B32" s="12" t="s">
        <v>12</v>
      </c>
      <c r="C32" s="13">
        <v>455642.67999999929</v>
      </c>
    </row>
    <row r="33" spans="2:3" x14ac:dyDescent="0.3">
      <c r="B33" s="12" t="s">
        <v>32</v>
      </c>
      <c r="C33" s="13">
        <v>93540.190000000104</v>
      </c>
    </row>
    <row r="34" spans="2:3" x14ac:dyDescent="0.3">
      <c r="B34" s="12" t="s">
        <v>49</v>
      </c>
      <c r="C34" s="13">
        <v>62247.510000000009</v>
      </c>
    </row>
    <row r="35" spans="2:3" x14ac:dyDescent="0.3">
      <c r="B35" s="12" t="s">
        <v>861</v>
      </c>
      <c r="C35" s="13">
        <v>611430.37999999942</v>
      </c>
    </row>
    <row r="78" spans="1:5" x14ac:dyDescent="0.3">
      <c r="A78" s="17" t="s">
        <v>858</v>
      </c>
      <c r="B78" s="17"/>
      <c r="C78" s="17"/>
      <c r="D78" s="17"/>
      <c r="E78" s="17"/>
    </row>
    <row r="80" spans="1:5" x14ac:dyDescent="0.3">
      <c r="B80" s="11" t="s">
        <v>860</v>
      </c>
      <c r="C80" t="s">
        <v>862</v>
      </c>
    </row>
    <row r="81" spans="2:3" x14ac:dyDescent="0.3">
      <c r="B81" s="12" t="s">
        <v>19</v>
      </c>
      <c r="C81" s="13">
        <v>126146.13000000005</v>
      </c>
    </row>
    <row r="82" spans="2:3" x14ac:dyDescent="0.3">
      <c r="B82" s="12" t="s">
        <v>37</v>
      </c>
      <c r="C82" s="13">
        <v>124386.09000000007</v>
      </c>
    </row>
    <row r="83" spans="2:3" x14ac:dyDescent="0.3">
      <c r="B83" s="12" t="s">
        <v>41</v>
      </c>
      <c r="C83" s="13">
        <v>123816.27</v>
      </c>
    </row>
    <row r="84" spans="2:3" x14ac:dyDescent="0.3">
      <c r="B84" s="12" t="s">
        <v>29</v>
      </c>
      <c r="C84" s="13">
        <v>122696.23000000004</v>
      </c>
    </row>
    <row r="85" spans="2:3" x14ac:dyDescent="0.3">
      <c r="B85" s="12" t="s">
        <v>60</v>
      </c>
      <c r="C85" s="13">
        <v>114385.66000000008</v>
      </c>
    </row>
    <row r="86" spans="2:3" x14ac:dyDescent="0.3">
      <c r="B86" s="12" t="s">
        <v>861</v>
      </c>
      <c r="C86" s="13">
        <v>611430.38000000024</v>
      </c>
    </row>
    <row r="132" spans="1:3" x14ac:dyDescent="0.3">
      <c r="A132" s="10" t="s">
        <v>859</v>
      </c>
    </row>
    <row r="134" spans="1:3" x14ac:dyDescent="0.3">
      <c r="B134" s="11" t="s">
        <v>860</v>
      </c>
      <c r="C134" t="s">
        <v>862</v>
      </c>
    </row>
    <row r="135" spans="1:3" x14ac:dyDescent="0.3">
      <c r="B135" s="12" t="s">
        <v>52</v>
      </c>
      <c r="C135" s="13">
        <v>152004.8700000002</v>
      </c>
    </row>
    <row r="136" spans="1:3" x14ac:dyDescent="0.3">
      <c r="B136" s="12" t="s">
        <v>47</v>
      </c>
      <c r="C136" s="13">
        <v>153945.06000000011</v>
      </c>
    </row>
    <row r="137" spans="1:3" x14ac:dyDescent="0.3">
      <c r="B137" s="12" t="s">
        <v>20</v>
      </c>
      <c r="C137" s="13">
        <v>178994.76000000013</v>
      </c>
    </row>
    <row r="138" spans="1:3" x14ac:dyDescent="0.3">
      <c r="B138" s="12" t="s">
        <v>24</v>
      </c>
      <c r="C138" s="13">
        <v>126485.69000000002</v>
      </c>
    </row>
    <row r="139" spans="1:3" x14ac:dyDescent="0.3">
      <c r="B139" s="12" t="s">
        <v>861</v>
      </c>
      <c r="C139" s="13">
        <v>611430.38000000047</v>
      </c>
    </row>
  </sheetData>
  <mergeCells count="2">
    <mergeCell ref="A29:F29"/>
    <mergeCell ref="A78:E78"/>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W1000"/>
  <sheetViews>
    <sheetView topLeftCell="E1" workbookViewId="0">
      <selection activeCell="K12" sqref="K12"/>
    </sheetView>
  </sheetViews>
  <sheetFormatPr defaultColWidth="14.44140625" defaultRowHeight="15" customHeight="1" x14ac:dyDescent="0.3"/>
  <cols>
    <col min="1" max="2" width="8.6640625" customWidth="1"/>
    <col min="3" max="3" width="9.88671875" bestFit="1" customWidth="1"/>
    <col min="4" max="4" width="14.109375" bestFit="1" customWidth="1"/>
    <col min="5" max="6" width="8.6640625" customWidth="1"/>
    <col min="7" max="7" width="11.44140625" bestFit="1" customWidth="1"/>
    <col min="8" max="8" width="18.6640625" bestFit="1" customWidth="1"/>
    <col min="9" max="9" width="10.44140625" bestFit="1" customWidth="1"/>
    <col min="10" max="10" width="18.6640625" bestFit="1" customWidth="1"/>
    <col min="12" max="12" width="18.6640625" bestFit="1" customWidth="1"/>
    <col min="15" max="15" width="13.21875" bestFit="1" customWidth="1"/>
    <col min="16" max="17" width="18.6640625" bestFit="1" customWidth="1"/>
    <col min="18" max="18" width="9.109375" bestFit="1" customWidth="1"/>
    <col min="19" max="19" width="13.5546875" bestFit="1" customWidth="1"/>
    <col min="20" max="26" width="8.6640625" customWidth="1"/>
  </cols>
  <sheetData>
    <row r="1" spans="1:23" ht="14.25" customHeight="1" x14ac:dyDescent="0.3">
      <c r="A1" s="1" t="s">
        <v>1</v>
      </c>
      <c r="B1" s="1" t="s">
        <v>5</v>
      </c>
      <c r="C1" s="1" t="s">
        <v>0</v>
      </c>
      <c r="D1" s="1" t="s">
        <v>8</v>
      </c>
      <c r="E1" s="1" t="s">
        <v>9</v>
      </c>
      <c r="F1" s="1" t="s">
        <v>13</v>
      </c>
      <c r="G1" s="1" t="s">
        <v>14</v>
      </c>
      <c r="H1" s="16" t="s">
        <v>3</v>
      </c>
      <c r="I1" s="16" t="s">
        <v>4</v>
      </c>
      <c r="J1" s="16" t="s">
        <v>6</v>
      </c>
      <c r="K1" s="16" t="s">
        <v>854</v>
      </c>
      <c r="L1" s="16"/>
      <c r="P1" s="8"/>
      <c r="Q1" s="8"/>
      <c r="R1" s="8"/>
      <c r="S1" s="8" t="s">
        <v>855</v>
      </c>
      <c r="T1" s="6" t="s">
        <v>0</v>
      </c>
      <c r="U1" s="7" t="s">
        <v>3</v>
      </c>
      <c r="V1" s="7" t="s">
        <v>4</v>
      </c>
      <c r="W1" s="7" t="s">
        <v>6</v>
      </c>
    </row>
    <row r="2" spans="1:23" ht="14.25" customHeight="1" x14ac:dyDescent="0.3">
      <c r="A2" s="2" t="s">
        <v>15</v>
      </c>
      <c r="B2" s="2" t="s">
        <v>17</v>
      </c>
      <c r="C2" s="2" t="s">
        <v>18</v>
      </c>
      <c r="D2" s="2" t="s">
        <v>19</v>
      </c>
      <c r="E2" s="2" t="s">
        <v>20</v>
      </c>
      <c r="F2" s="2">
        <v>4</v>
      </c>
      <c r="G2" s="2" t="s">
        <v>21</v>
      </c>
      <c r="H2" t="str" cm="1">
        <f t="array" ref="H2:J2">_xlfn.XLOOKUP(C2,Products!A:A,Products!B:D)</f>
        <v>Tablet Air</v>
      </c>
      <c r="I2" t="str">
        <v>Electronics</v>
      </c>
      <c r="J2">
        <v>499.99</v>
      </c>
      <c r="K2">
        <f>IF(G2="Cancelled", 0, F2*J2)</f>
        <v>1999.96</v>
      </c>
      <c r="Q2" s="8"/>
      <c r="S2">
        <f>COUNTIF($C$2:$C$35, T2)</f>
        <v>6</v>
      </c>
      <c r="T2" t="str" cm="1">
        <f t="array" ref="T2:T9">_xlfn.XLOOKUP(Products!A2:A9, Products!A2:A9, Products!A2:D9, "")</f>
        <v>PROD-200</v>
      </c>
      <c r="U2" t="str" cm="1">
        <f t="array" ref="U2:U9">_xlfn.XLOOKUP(Products!B2:B9, Products!B2:B9, Products!B2:E9, "")</f>
        <v>Smartphone X</v>
      </c>
      <c r="V2" t="str" cm="1">
        <f t="array" ref="V2:V9">_xlfn.XLOOKUP(Products!C2:C9, Products!C2:C9, Products!C2:F9, "")</f>
        <v>Electronics</v>
      </c>
      <c r="W2" cm="1">
        <f t="array" ref="W2:W9">_xlfn.XLOOKUP(Products!D2:D9, Products!D2:D9, Products!D2:G9, "")</f>
        <v>999.99</v>
      </c>
    </row>
    <row r="3" spans="1:23" ht="14.25" customHeight="1" x14ac:dyDescent="0.3">
      <c r="A3" s="2" t="s">
        <v>22</v>
      </c>
      <c r="B3" s="2" t="s">
        <v>17</v>
      </c>
      <c r="C3" s="2" t="s">
        <v>23</v>
      </c>
      <c r="D3" s="2" t="s">
        <v>19</v>
      </c>
      <c r="E3" s="2" t="s">
        <v>24</v>
      </c>
      <c r="F3" s="2">
        <v>3</v>
      </c>
      <c r="G3" s="2" t="s">
        <v>25</v>
      </c>
      <c r="H3" t="str" cm="1">
        <f t="array" ref="H3:J3">_xlfn.XLOOKUP(C3,Products!A:A,Products!B:D)</f>
        <v>4K Monitor</v>
      </c>
      <c r="I3" t="str">
        <v>Electronics</v>
      </c>
      <c r="J3">
        <v>349.99</v>
      </c>
      <c r="K3">
        <f t="shared" ref="K3:K66" si="0">IF(G3="Cancelled", 0, F3*J3)</f>
        <v>0</v>
      </c>
      <c r="Q3" s="8"/>
      <c r="S3">
        <f t="shared" ref="S3:S8" si="1">COUNTIF($C$2:$C$30, T3)</f>
        <v>1</v>
      </c>
      <c r="T3" t="str">
        <v>PROD-201</v>
      </c>
      <c r="U3" t="str">
        <v>Tablet Air</v>
      </c>
      <c r="V3" t="str">
        <v>Electronics</v>
      </c>
      <c r="W3">
        <v>499.99</v>
      </c>
    </row>
    <row r="4" spans="1:23" ht="14.25" customHeight="1" x14ac:dyDescent="0.3">
      <c r="A4" s="2" t="s">
        <v>26</v>
      </c>
      <c r="B4" s="2" t="s">
        <v>27</v>
      </c>
      <c r="C4" s="2" t="s">
        <v>7</v>
      </c>
      <c r="D4" s="2" t="s">
        <v>29</v>
      </c>
      <c r="E4" s="2" t="s">
        <v>20</v>
      </c>
      <c r="F4" s="2">
        <v>5</v>
      </c>
      <c r="G4" s="2" t="s">
        <v>21</v>
      </c>
      <c r="H4" t="str" cm="1">
        <f t="array" ref="H4:J4">_xlfn.XLOOKUP(C4,Products!A:A,Products!B:D)</f>
        <v>Smartphone X</v>
      </c>
      <c r="I4" t="str">
        <v>Electronics</v>
      </c>
      <c r="J4">
        <v>999.99</v>
      </c>
      <c r="K4">
        <f t="shared" si="0"/>
        <v>4999.95</v>
      </c>
      <c r="Q4" s="8"/>
      <c r="S4">
        <f t="shared" si="1"/>
        <v>4</v>
      </c>
      <c r="T4" t="str">
        <v>PROD-202</v>
      </c>
      <c r="U4" t="str">
        <v>Wireless Headphones</v>
      </c>
      <c r="V4" t="str">
        <v>Accessories</v>
      </c>
      <c r="W4">
        <v>149.99</v>
      </c>
    </row>
    <row r="5" spans="1:23" ht="14.25" customHeight="1" x14ac:dyDescent="0.3">
      <c r="A5" s="2" t="s">
        <v>33</v>
      </c>
      <c r="B5" s="2" t="s">
        <v>34</v>
      </c>
      <c r="C5" s="2" t="s">
        <v>35</v>
      </c>
      <c r="D5" s="2" t="s">
        <v>37</v>
      </c>
      <c r="E5" s="2" t="s">
        <v>24</v>
      </c>
      <c r="F5" s="2">
        <v>5</v>
      </c>
      <c r="G5" s="2" t="s">
        <v>21</v>
      </c>
      <c r="H5" t="str" cm="1">
        <f t="array" ref="H5:J5">_xlfn.XLOOKUP(C5,Products!A:A,Products!B:D)</f>
        <v>Mechanical Keyboard</v>
      </c>
      <c r="I5" t="str">
        <v>Accessories</v>
      </c>
      <c r="J5">
        <v>89.99</v>
      </c>
      <c r="K5">
        <f t="shared" si="0"/>
        <v>449.95</v>
      </c>
      <c r="Q5" s="8"/>
      <c r="S5">
        <f t="shared" si="1"/>
        <v>4</v>
      </c>
      <c r="T5" t="str">
        <v>PROD-203</v>
      </c>
      <c r="U5" t="str">
        <v>Mechanical Keyboard</v>
      </c>
      <c r="V5" t="str">
        <v>Accessories</v>
      </c>
      <c r="W5">
        <v>89.99</v>
      </c>
    </row>
    <row r="6" spans="1:23" ht="14.25" customHeight="1" x14ac:dyDescent="0.3">
      <c r="A6" s="2" t="s">
        <v>40</v>
      </c>
      <c r="B6" s="2" t="s">
        <v>27</v>
      </c>
      <c r="C6" s="2" t="s">
        <v>38</v>
      </c>
      <c r="D6" s="2" t="s">
        <v>41</v>
      </c>
      <c r="E6" s="2" t="s">
        <v>24</v>
      </c>
      <c r="F6" s="2">
        <v>4</v>
      </c>
      <c r="G6" s="2" t="s">
        <v>25</v>
      </c>
      <c r="H6" t="str" cm="1">
        <f t="array" ref="H6:J6">_xlfn.XLOOKUP(C6,Products!A:A,Products!B:D)</f>
        <v>Gaming Mouse</v>
      </c>
      <c r="I6" t="str">
        <v>Accessories</v>
      </c>
      <c r="J6">
        <v>49.99</v>
      </c>
      <c r="K6">
        <f t="shared" si="0"/>
        <v>0</v>
      </c>
      <c r="Q6" s="8"/>
      <c r="S6">
        <f t="shared" si="1"/>
        <v>3</v>
      </c>
      <c r="T6" t="str">
        <v>PROD-204</v>
      </c>
      <c r="U6" t="str">
        <v>Gaming Mouse</v>
      </c>
      <c r="V6" t="str">
        <v>Accessories</v>
      </c>
      <c r="W6">
        <v>49.99</v>
      </c>
    </row>
    <row r="7" spans="1:23" ht="14.25" customHeight="1" x14ac:dyDescent="0.3">
      <c r="A7" s="2" t="s">
        <v>44</v>
      </c>
      <c r="B7" s="2" t="s">
        <v>27</v>
      </c>
      <c r="C7" s="2" t="s">
        <v>43</v>
      </c>
      <c r="D7" s="2" t="s">
        <v>41</v>
      </c>
      <c r="E7" s="2" t="s">
        <v>47</v>
      </c>
      <c r="F7" s="2">
        <v>5</v>
      </c>
      <c r="G7" s="2" t="s">
        <v>21</v>
      </c>
      <c r="H7" t="str" cm="1">
        <f t="array" ref="H7:J7">_xlfn.XLOOKUP(C7,Products!A:A,Products!B:D)</f>
        <v>Bluetooth Speaker</v>
      </c>
      <c r="I7" t="str">
        <v>Accessories</v>
      </c>
      <c r="J7">
        <v>79.989999999999995</v>
      </c>
      <c r="K7">
        <f t="shared" si="0"/>
        <v>399.95</v>
      </c>
      <c r="Q7" s="8"/>
      <c r="S7">
        <f t="shared" si="1"/>
        <v>7</v>
      </c>
      <c r="T7" t="str">
        <v>PROD-205</v>
      </c>
      <c r="U7" t="str">
        <v>4K Monitor</v>
      </c>
      <c r="V7" t="str">
        <v>Electronics</v>
      </c>
      <c r="W7">
        <v>349.99</v>
      </c>
    </row>
    <row r="8" spans="1:23" ht="14.25" customHeight="1" x14ac:dyDescent="0.3">
      <c r="A8" s="2" t="s">
        <v>50</v>
      </c>
      <c r="B8" s="2" t="s">
        <v>27</v>
      </c>
      <c r="C8" s="2" t="s">
        <v>23</v>
      </c>
      <c r="D8" s="2" t="s">
        <v>19</v>
      </c>
      <c r="E8" s="2" t="s">
        <v>20</v>
      </c>
      <c r="F8" s="2">
        <v>4</v>
      </c>
      <c r="G8" s="2" t="s">
        <v>21</v>
      </c>
      <c r="H8" t="str" cm="1">
        <f t="array" ref="H8:J8">_xlfn.XLOOKUP(C8,Products!A:A,Products!B:D)</f>
        <v>4K Monitor</v>
      </c>
      <c r="I8" t="str">
        <v>Electronics</v>
      </c>
      <c r="J8">
        <v>349.99</v>
      </c>
      <c r="K8">
        <f t="shared" si="0"/>
        <v>1399.96</v>
      </c>
      <c r="Q8" s="8"/>
      <c r="S8">
        <f t="shared" si="1"/>
        <v>2</v>
      </c>
      <c r="T8" t="str">
        <v>PROD-206</v>
      </c>
      <c r="U8" t="str">
        <v>Bluetooth Speaker</v>
      </c>
      <c r="V8" t="str">
        <v>Accessories</v>
      </c>
      <c r="W8">
        <v>79.989999999999995</v>
      </c>
    </row>
    <row r="9" spans="1:23" ht="14.25" customHeight="1" x14ac:dyDescent="0.3">
      <c r="A9" s="2" t="s">
        <v>51</v>
      </c>
      <c r="B9" s="2" t="s">
        <v>27</v>
      </c>
      <c r="C9" s="2" t="s">
        <v>7</v>
      </c>
      <c r="D9" s="2" t="s">
        <v>19</v>
      </c>
      <c r="E9" s="2" t="s">
        <v>52</v>
      </c>
      <c r="F9" s="2">
        <v>2</v>
      </c>
      <c r="G9" s="2" t="s">
        <v>21</v>
      </c>
      <c r="H9" t="str" cm="1">
        <f t="array" ref="H9:J9">_xlfn.XLOOKUP(C9,Products!A:A,Products!B:D)</f>
        <v>Smartphone X</v>
      </c>
      <c r="I9" t="str">
        <v>Electronics</v>
      </c>
      <c r="J9">
        <v>999.99</v>
      </c>
      <c r="K9">
        <f t="shared" si="0"/>
        <v>1999.98</v>
      </c>
      <c r="Q9" s="8"/>
      <c r="S9">
        <f>COUNTIF($C$2:$C$30, T9)</f>
        <v>3</v>
      </c>
      <c r="T9" t="str">
        <v>PROD-207</v>
      </c>
      <c r="U9" t="str">
        <v>Ergonomic Chair</v>
      </c>
      <c r="V9" t="str">
        <v>Furniture</v>
      </c>
      <c r="W9">
        <v>249.99</v>
      </c>
    </row>
    <row r="10" spans="1:23" ht="14.25" customHeight="1" x14ac:dyDescent="0.3">
      <c r="A10" s="2" t="s">
        <v>53</v>
      </c>
      <c r="B10" s="2" t="s">
        <v>54</v>
      </c>
      <c r="C10" s="2" t="s">
        <v>46</v>
      </c>
      <c r="D10" s="2" t="s">
        <v>29</v>
      </c>
      <c r="E10" s="2" t="s">
        <v>20</v>
      </c>
      <c r="F10" s="2">
        <v>4</v>
      </c>
      <c r="G10" s="2" t="s">
        <v>21</v>
      </c>
      <c r="H10" t="str" cm="1">
        <f t="array" ref="H10:J10">_xlfn.XLOOKUP(C10,Products!A:A,Products!B:D)</f>
        <v>Ergonomic Chair</v>
      </c>
      <c r="I10" t="str">
        <v>Furniture</v>
      </c>
      <c r="J10">
        <v>249.99</v>
      </c>
      <c r="K10">
        <f t="shared" si="0"/>
        <v>999.96</v>
      </c>
      <c r="Q10" s="8"/>
    </row>
    <row r="11" spans="1:23" ht="14.25" customHeight="1" x14ac:dyDescent="0.3">
      <c r="A11" s="2" t="s">
        <v>55</v>
      </c>
      <c r="B11" s="2" t="s">
        <v>56</v>
      </c>
      <c r="C11" s="2" t="s">
        <v>38</v>
      </c>
      <c r="D11" s="2" t="s">
        <v>19</v>
      </c>
      <c r="E11" s="2" t="s">
        <v>52</v>
      </c>
      <c r="F11" s="2">
        <v>1</v>
      </c>
      <c r="G11" s="2" t="s">
        <v>25</v>
      </c>
      <c r="H11" t="str" cm="1">
        <f t="array" ref="H11:J11">_xlfn.XLOOKUP(C11,Products!A:A,Products!B:D)</f>
        <v>Gaming Mouse</v>
      </c>
      <c r="I11" t="str">
        <v>Accessories</v>
      </c>
      <c r="J11">
        <v>49.99</v>
      </c>
      <c r="K11">
        <f t="shared" si="0"/>
        <v>0</v>
      </c>
      <c r="Q11" s="8"/>
    </row>
    <row r="12" spans="1:23" ht="14.25" customHeight="1" x14ac:dyDescent="0.3">
      <c r="A12" s="2" t="s">
        <v>57</v>
      </c>
      <c r="B12" s="2" t="s">
        <v>58</v>
      </c>
      <c r="C12" s="2" t="s">
        <v>46</v>
      </c>
      <c r="D12" s="2" t="s">
        <v>41</v>
      </c>
      <c r="E12" s="2" t="s">
        <v>24</v>
      </c>
      <c r="F12" s="2">
        <v>4</v>
      </c>
      <c r="G12" s="2" t="s">
        <v>25</v>
      </c>
      <c r="H12" t="str" cm="1">
        <f t="array" ref="H12:J12">_xlfn.XLOOKUP(C12,Products!A:A,Products!B:D)</f>
        <v>Ergonomic Chair</v>
      </c>
      <c r="I12" t="str">
        <v>Furniture</v>
      </c>
      <c r="J12">
        <v>249.99</v>
      </c>
      <c r="K12">
        <f t="shared" si="0"/>
        <v>0</v>
      </c>
      <c r="Q12" s="8"/>
    </row>
    <row r="13" spans="1:23" ht="14.25" customHeight="1" x14ac:dyDescent="0.3">
      <c r="A13" s="2" t="s">
        <v>59</v>
      </c>
      <c r="B13" s="2" t="s">
        <v>17</v>
      </c>
      <c r="C13" s="2" t="s">
        <v>23</v>
      </c>
      <c r="D13" s="2" t="s">
        <v>60</v>
      </c>
      <c r="E13" s="2" t="s">
        <v>24</v>
      </c>
      <c r="F13" s="2">
        <v>3</v>
      </c>
      <c r="G13" s="2" t="s">
        <v>61</v>
      </c>
      <c r="H13" t="str" cm="1">
        <f t="array" ref="H13:J13">_xlfn.XLOOKUP(C13,Products!A:A,Products!B:D)</f>
        <v>4K Monitor</v>
      </c>
      <c r="I13" t="str">
        <v>Electronics</v>
      </c>
      <c r="J13">
        <v>349.99</v>
      </c>
      <c r="K13">
        <f t="shared" si="0"/>
        <v>1049.97</v>
      </c>
      <c r="Q13" s="8"/>
    </row>
    <row r="14" spans="1:23" ht="14.25" customHeight="1" x14ac:dyDescent="0.3">
      <c r="A14" s="2" t="s">
        <v>62</v>
      </c>
      <c r="B14" s="2" t="s">
        <v>34</v>
      </c>
      <c r="C14" s="2" t="s">
        <v>35</v>
      </c>
      <c r="D14" s="2" t="s">
        <v>37</v>
      </c>
      <c r="E14" s="2" t="s">
        <v>20</v>
      </c>
      <c r="F14" s="2">
        <v>1</v>
      </c>
      <c r="G14" s="2" t="s">
        <v>25</v>
      </c>
      <c r="H14" t="str" cm="1">
        <f t="array" ref="H14:J14">_xlfn.XLOOKUP(C14,Products!A:A,Products!B:D)</f>
        <v>Mechanical Keyboard</v>
      </c>
      <c r="I14" t="str">
        <v>Accessories</v>
      </c>
      <c r="J14">
        <v>89.99</v>
      </c>
      <c r="K14">
        <f t="shared" si="0"/>
        <v>0</v>
      </c>
      <c r="Q14" s="8"/>
    </row>
    <row r="15" spans="1:23" ht="14.25" customHeight="1" x14ac:dyDescent="0.3">
      <c r="A15" s="2" t="s">
        <v>63</v>
      </c>
      <c r="B15" s="2" t="s">
        <v>58</v>
      </c>
      <c r="C15" s="2" t="s">
        <v>23</v>
      </c>
      <c r="D15" s="2" t="s">
        <v>19</v>
      </c>
      <c r="E15" s="2" t="s">
        <v>47</v>
      </c>
      <c r="F15" s="2">
        <v>2</v>
      </c>
      <c r="G15" s="2" t="s">
        <v>21</v>
      </c>
      <c r="H15" t="str" cm="1">
        <f t="array" ref="H15:J15">_xlfn.XLOOKUP(C15,Products!A:A,Products!B:D)</f>
        <v>4K Monitor</v>
      </c>
      <c r="I15" t="str">
        <v>Electronics</v>
      </c>
      <c r="J15">
        <v>349.99</v>
      </c>
      <c r="K15">
        <f t="shared" si="0"/>
        <v>699.98</v>
      </c>
      <c r="Q15" s="8"/>
    </row>
    <row r="16" spans="1:23" ht="14.25" customHeight="1" x14ac:dyDescent="0.3">
      <c r="A16" s="2" t="s">
        <v>64</v>
      </c>
      <c r="B16" s="2" t="s">
        <v>58</v>
      </c>
      <c r="C16" s="2" t="s">
        <v>30</v>
      </c>
      <c r="D16" s="2" t="s">
        <v>37</v>
      </c>
      <c r="E16" s="2" t="s">
        <v>47</v>
      </c>
      <c r="F16" s="2">
        <v>1</v>
      </c>
      <c r="G16" s="2" t="s">
        <v>21</v>
      </c>
      <c r="H16" t="str" cm="1">
        <f t="array" ref="H16:J16">_xlfn.XLOOKUP(C16,Products!A:A,Products!B:D)</f>
        <v>Wireless Headphones</v>
      </c>
      <c r="I16" t="str">
        <v>Accessories</v>
      </c>
      <c r="J16">
        <v>149.99</v>
      </c>
      <c r="K16">
        <f t="shared" si="0"/>
        <v>149.99</v>
      </c>
      <c r="Q16" s="8"/>
    </row>
    <row r="17" spans="1:17" ht="14.25" customHeight="1" x14ac:dyDescent="0.3">
      <c r="A17" s="2" t="s">
        <v>65</v>
      </c>
      <c r="B17" s="2" t="s">
        <v>34</v>
      </c>
      <c r="C17" s="2" t="s">
        <v>7</v>
      </c>
      <c r="D17" s="2" t="s">
        <v>41</v>
      </c>
      <c r="E17" s="2" t="s">
        <v>24</v>
      </c>
      <c r="F17" s="2">
        <v>3</v>
      </c>
      <c r="G17" s="2" t="s">
        <v>21</v>
      </c>
      <c r="H17" t="str" cm="1">
        <f t="array" ref="H17:J17">_xlfn.XLOOKUP(C17,Products!A:A,Products!B:D)</f>
        <v>Smartphone X</v>
      </c>
      <c r="I17" t="str">
        <v>Electronics</v>
      </c>
      <c r="J17">
        <v>999.99</v>
      </c>
      <c r="K17">
        <f t="shared" si="0"/>
        <v>2999.9700000000003</v>
      </c>
      <c r="Q17" s="8"/>
    </row>
    <row r="18" spans="1:17" ht="14.25" customHeight="1" x14ac:dyDescent="0.3">
      <c r="A18" s="2" t="s">
        <v>66</v>
      </c>
      <c r="B18" s="2" t="s">
        <v>54</v>
      </c>
      <c r="C18" s="2" t="s">
        <v>23</v>
      </c>
      <c r="D18" s="2" t="s">
        <v>60</v>
      </c>
      <c r="E18" s="2" t="s">
        <v>20</v>
      </c>
      <c r="F18" s="2">
        <v>3</v>
      </c>
      <c r="G18" s="2" t="s">
        <v>61</v>
      </c>
      <c r="H18" t="str" cm="1">
        <f t="array" ref="H18:J18">_xlfn.XLOOKUP(C18,Products!A:A,Products!B:D)</f>
        <v>4K Monitor</v>
      </c>
      <c r="I18" t="str">
        <v>Electronics</v>
      </c>
      <c r="J18">
        <v>349.99</v>
      </c>
      <c r="K18">
        <f t="shared" si="0"/>
        <v>1049.97</v>
      </c>
      <c r="Q18" s="8"/>
    </row>
    <row r="19" spans="1:17" ht="14.25" customHeight="1" x14ac:dyDescent="0.3">
      <c r="A19" s="2" t="s">
        <v>67</v>
      </c>
      <c r="B19" s="2" t="s">
        <v>34</v>
      </c>
      <c r="C19" s="2" t="s">
        <v>35</v>
      </c>
      <c r="D19" s="2" t="s">
        <v>37</v>
      </c>
      <c r="E19" s="2" t="s">
        <v>52</v>
      </c>
      <c r="F19" s="2">
        <v>2</v>
      </c>
      <c r="G19" s="2" t="s">
        <v>61</v>
      </c>
      <c r="H19" t="str" cm="1">
        <f t="array" ref="H19:J19">_xlfn.XLOOKUP(C19,Products!A:A,Products!B:D)</f>
        <v>Mechanical Keyboard</v>
      </c>
      <c r="I19" t="str">
        <v>Accessories</v>
      </c>
      <c r="J19">
        <v>89.99</v>
      </c>
      <c r="K19">
        <f t="shared" si="0"/>
        <v>179.98</v>
      </c>
      <c r="Q19" s="8"/>
    </row>
    <row r="20" spans="1:17" ht="14.25" customHeight="1" x14ac:dyDescent="0.3">
      <c r="A20" s="2" t="s">
        <v>68</v>
      </c>
      <c r="B20" s="2" t="s">
        <v>17</v>
      </c>
      <c r="C20" s="2" t="s">
        <v>35</v>
      </c>
      <c r="D20" s="2" t="s">
        <v>41</v>
      </c>
      <c r="E20" s="2" t="s">
        <v>20</v>
      </c>
      <c r="F20" s="2">
        <v>2</v>
      </c>
      <c r="G20" s="2" t="s">
        <v>21</v>
      </c>
      <c r="H20" t="str" cm="1">
        <f t="array" ref="H20:J20">_xlfn.XLOOKUP(C20,Products!A:A,Products!B:D)</f>
        <v>Mechanical Keyboard</v>
      </c>
      <c r="I20" t="str">
        <v>Accessories</v>
      </c>
      <c r="J20">
        <v>89.99</v>
      </c>
      <c r="K20">
        <f t="shared" si="0"/>
        <v>179.98</v>
      </c>
      <c r="Q20" s="8"/>
    </row>
    <row r="21" spans="1:17" ht="14.25" customHeight="1" x14ac:dyDescent="0.3">
      <c r="A21" s="2" t="s">
        <v>69</v>
      </c>
      <c r="B21" s="2" t="s">
        <v>27</v>
      </c>
      <c r="C21" s="2" t="s">
        <v>43</v>
      </c>
      <c r="D21" s="2" t="s">
        <v>37</v>
      </c>
      <c r="E21" s="2" t="s">
        <v>24</v>
      </c>
      <c r="F21" s="2">
        <v>4</v>
      </c>
      <c r="G21" s="2" t="s">
        <v>25</v>
      </c>
      <c r="H21" t="str" cm="1">
        <f t="array" ref="H21:J21">_xlfn.XLOOKUP(C21,Products!A:A,Products!B:D)</f>
        <v>Bluetooth Speaker</v>
      </c>
      <c r="I21" t="str">
        <v>Accessories</v>
      </c>
      <c r="J21">
        <v>79.989999999999995</v>
      </c>
      <c r="K21">
        <f t="shared" si="0"/>
        <v>0</v>
      </c>
      <c r="Q21" s="8"/>
    </row>
    <row r="22" spans="1:17" ht="14.25" customHeight="1" x14ac:dyDescent="0.3">
      <c r="A22" s="2" t="s">
        <v>70</v>
      </c>
      <c r="B22" s="2" t="s">
        <v>17</v>
      </c>
      <c r="C22" s="2" t="s">
        <v>46</v>
      </c>
      <c r="D22" s="2" t="s">
        <v>60</v>
      </c>
      <c r="E22" s="2" t="s">
        <v>52</v>
      </c>
      <c r="F22" s="2">
        <v>2</v>
      </c>
      <c r="G22" s="2" t="s">
        <v>25</v>
      </c>
      <c r="H22" t="str" cm="1">
        <f t="array" ref="H22:J22">_xlfn.XLOOKUP(C22,Products!A:A,Products!B:D)</f>
        <v>Ergonomic Chair</v>
      </c>
      <c r="I22" t="str">
        <v>Furniture</v>
      </c>
      <c r="J22">
        <v>249.99</v>
      </c>
      <c r="K22">
        <f t="shared" si="0"/>
        <v>0</v>
      </c>
      <c r="Q22" s="8"/>
    </row>
    <row r="23" spans="1:17" ht="14.25" customHeight="1" x14ac:dyDescent="0.3">
      <c r="A23" s="2" t="s">
        <v>71</v>
      </c>
      <c r="B23" s="2" t="s">
        <v>58</v>
      </c>
      <c r="C23" s="2" t="s">
        <v>30</v>
      </c>
      <c r="D23" s="2" t="s">
        <v>37</v>
      </c>
      <c r="E23" s="2" t="s">
        <v>24</v>
      </c>
      <c r="F23" s="2">
        <v>5</v>
      </c>
      <c r="G23" s="2" t="s">
        <v>21</v>
      </c>
      <c r="H23" t="str" cm="1">
        <f t="array" ref="H23:J23">_xlfn.XLOOKUP(C23,Products!A:A,Products!B:D)</f>
        <v>Wireless Headphones</v>
      </c>
      <c r="I23" t="str">
        <v>Accessories</v>
      </c>
      <c r="J23">
        <v>149.99</v>
      </c>
      <c r="K23">
        <f t="shared" si="0"/>
        <v>749.95</v>
      </c>
      <c r="Q23" s="8"/>
    </row>
    <row r="24" spans="1:17" ht="14.25" customHeight="1" x14ac:dyDescent="0.3">
      <c r="A24" s="2" t="s">
        <v>72</v>
      </c>
      <c r="B24" s="2" t="s">
        <v>34</v>
      </c>
      <c r="C24" s="2" t="s">
        <v>23</v>
      </c>
      <c r="D24" s="2" t="s">
        <v>37</v>
      </c>
      <c r="E24" s="2" t="s">
        <v>52</v>
      </c>
      <c r="F24" s="2">
        <v>5</v>
      </c>
      <c r="G24" s="2" t="s">
        <v>25</v>
      </c>
      <c r="H24" t="str" cm="1">
        <f t="array" ref="H24:J24">_xlfn.XLOOKUP(C24,Products!A:A,Products!B:D)</f>
        <v>4K Monitor</v>
      </c>
      <c r="I24" t="str">
        <v>Electronics</v>
      </c>
      <c r="J24">
        <v>349.99</v>
      </c>
      <c r="K24">
        <f t="shared" si="0"/>
        <v>0</v>
      </c>
      <c r="Q24" s="8"/>
    </row>
    <row r="25" spans="1:17" ht="14.25" customHeight="1" x14ac:dyDescent="0.3">
      <c r="A25" s="2" t="s">
        <v>73</v>
      </c>
      <c r="B25" s="2" t="s">
        <v>34</v>
      </c>
      <c r="C25" s="2" t="s">
        <v>30</v>
      </c>
      <c r="D25" s="2" t="s">
        <v>60</v>
      </c>
      <c r="E25" s="2" t="s">
        <v>52</v>
      </c>
      <c r="F25" s="2">
        <v>5</v>
      </c>
      <c r="G25" s="2" t="s">
        <v>21</v>
      </c>
      <c r="H25" t="str" cm="1">
        <f t="array" ref="H25:J25">_xlfn.XLOOKUP(C25,Products!A:A,Products!B:D)</f>
        <v>Wireless Headphones</v>
      </c>
      <c r="I25" t="str">
        <v>Accessories</v>
      </c>
      <c r="J25">
        <v>149.99</v>
      </c>
      <c r="K25">
        <f t="shared" si="0"/>
        <v>749.95</v>
      </c>
      <c r="Q25" s="8"/>
    </row>
    <row r="26" spans="1:17" ht="14.25" customHeight="1" x14ac:dyDescent="0.3">
      <c r="A26" s="2" t="s">
        <v>74</v>
      </c>
      <c r="B26" s="2" t="s">
        <v>27</v>
      </c>
      <c r="C26" s="2" t="s">
        <v>38</v>
      </c>
      <c r="D26" s="2" t="s">
        <v>60</v>
      </c>
      <c r="E26" s="2" t="s">
        <v>52</v>
      </c>
      <c r="F26" s="2">
        <v>1</v>
      </c>
      <c r="G26" s="2" t="s">
        <v>21</v>
      </c>
      <c r="H26" t="str" cm="1">
        <f t="array" ref="H26:J26">_xlfn.XLOOKUP(C26,Products!A:A,Products!B:D)</f>
        <v>Gaming Mouse</v>
      </c>
      <c r="I26" t="str">
        <v>Accessories</v>
      </c>
      <c r="J26">
        <v>49.99</v>
      </c>
      <c r="K26">
        <f t="shared" si="0"/>
        <v>49.99</v>
      </c>
      <c r="Q26" s="8"/>
    </row>
    <row r="27" spans="1:17" ht="14.25" customHeight="1" x14ac:dyDescent="0.3">
      <c r="A27" s="2" t="s">
        <v>75</v>
      </c>
      <c r="B27" s="2" t="s">
        <v>56</v>
      </c>
      <c r="C27" s="2" t="s">
        <v>7</v>
      </c>
      <c r="D27" s="2" t="s">
        <v>37</v>
      </c>
      <c r="E27" s="2" t="s">
        <v>52</v>
      </c>
      <c r="F27" s="2">
        <v>4</v>
      </c>
      <c r="G27" s="2" t="s">
        <v>61</v>
      </c>
      <c r="H27" t="str" cm="1">
        <f t="array" ref="H27:J27">_xlfn.XLOOKUP(C27,Products!A:A,Products!B:D)</f>
        <v>Smartphone X</v>
      </c>
      <c r="I27" t="str">
        <v>Electronics</v>
      </c>
      <c r="J27">
        <v>999.99</v>
      </c>
      <c r="K27">
        <f t="shared" si="0"/>
        <v>3999.96</v>
      </c>
      <c r="Q27" s="8"/>
    </row>
    <row r="28" spans="1:17" ht="14.25" customHeight="1" x14ac:dyDescent="0.3">
      <c r="A28" s="2" t="s">
        <v>76</v>
      </c>
      <c r="B28" s="2" t="s">
        <v>17</v>
      </c>
      <c r="C28" s="2" t="s">
        <v>7</v>
      </c>
      <c r="D28" s="2" t="s">
        <v>19</v>
      </c>
      <c r="E28" s="2" t="s">
        <v>20</v>
      </c>
      <c r="F28" s="2">
        <v>3</v>
      </c>
      <c r="G28" s="2" t="s">
        <v>61</v>
      </c>
      <c r="H28" t="str" cm="1">
        <f t="array" ref="H28:J28">_xlfn.XLOOKUP(C28,Products!A:A,Products!B:D)</f>
        <v>Smartphone X</v>
      </c>
      <c r="I28" t="str">
        <v>Electronics</v>
      </c>
      <c r="J28">
        <v>999.99</v>
      </c>
      <c r="K28">
        <f t="shared" si="0"/>
        <v>2999.9700000000003</v>
      </c>
      <c r="Q28" s="8"/>
    </row>
    <row r="29" spans="1:17" ht="14.25" customHeight="1" x14ac:dyDescent="0.3">
      <c r="A29" s="2" t="s">
        <v>77</v>
      </c>
      <c r="B29" s="2" t="s">
        <v>58</v>
      </c>
      <c r="C29" s="2" t="s">
        <v>23</v>
      </c>
      <c r="D29" s="2" t="s">
        <v>19</v>
      </c>
      <c r="E29" s="2" t="s">
        <v>24</v>
      </c>
      <c r="F29" s="2">
        <v>1</v>
      </c>
      <c r="G29" s="2" t="s">
        <v>25</v>
      </c>
      <c r="H29" t="str" cm="1">
        <f t="array" ref="H29:J29">_xlfn.XLOOKUP(C29,Products!A:A,Products!B:D)</f>
        <v>4K Monitor</v>
      </c>
      <c r="I29" t="str">
        <v>Electronics</v>
      </c>
      <c r="J29">
        <v>349.99</v>
      </c>
      <c r="K29">
        <f t="shared" si="0"/>
        <v>0</v>
      </c>
      <c r="Q29" s="8"/>
    </row>
    <row r="30" spans="1:17" ht="14.25" customHeight="1" x14ac:dyDescent="0.3">
      <c r="A30" s="2" t="s">
        <v>78</v>
      </c>
      <c r="B30" s="2" t="s">
        <v>27</v>
      </c>
      <c r="C30" s="2" t="s">
        <v>30</v>
      </c>
      <c r="D30" s="2" t="s">
        <v>19</v>
      </c>
      <c r="E30" s="2" t="s">
        <v>20</v>
      </c>
      <c r="F30" s="2">
        <v>5</v>
      </c>
      <c r="G30" s="2" t="s">
        <v>21</v>
      </c>
      <c r="H30" t="str" cm="1">
        <f t="array" ref="H30:J30">_xlfn.XLOOKUP(C30,Products!A:A,Products!B:D)</f>
        <v>Wireless Headphones</v>
      </c>
      <c r="I30" t="str">
        <v>Accessories</v>
      </c>
      <c r="J30">
        <v>149.99</v>
      </c>
      <c r="K30">
        <f t="shared" si="0"/>
        <v>749.95</v>
      </c>
      <c r="Q30" s="8"/>
    </row>
    <row r="31" spans="1:17" ht="14.25" customHeight="1" x14ac:dyDescent="0.3">
      <c r="A31" s="2" t="s">
        <v>79</v>
      </c>
      <c r="B31" s="2" t="s">
        <v>27</v>
      </c>
      <c r="C31" s="2" t="s">
        <v>30</v>
      </c>
      <c r="D31" s="2" t="s">
        <v>41</v>
      </c>
      <c r="E31" s="2" t="s">
        <v>20</v>
      </c>
      <c r="F31" s="2">
        <v>2</v>
      </c>
      <c r="G31" s="2" t="s">
        <v>21</v>
      </c>
      <c r="H31" t="str" cm="1">
        <f t="array" ref="H31:J31">_xlfn.XLOOKUP(C31,Products!A:A,Products!B:D)</f>
        <v>Wireless Headphones</v>
      </c>
      <c r="I31" t="str">
        <v>Accessories</v>
      </c>
      <c r="J31">
        <v>149.99</v>
      </c>
      <c r="K31">
        <f t="shared" si="0"/>
        <v>299.98</v>
      </c>
      <c r="Q31" s="8"/>
    </row>
    <row r="32" spans="1:17" ht="14.25" customHeight="1" x14ac:dyDescent="0.3">
      <c r="A32" s="2" t="s">
        <v>80</v>
      </c>
      <c r="B32" s="2" t="s">
        <v>17</v>
      </c>
      <c r="C32" s="2" t="s">
        <v>43</v>
      </c>
      <c r="D32" s="2" t="s">
        <v>37</v>
      </c>
      <c r="E32" s="2" t="s">
        <v>52</v>
      </c>
      <c r="F32" s="2">
        <v>2</v>
      </c>
      <c r="G32" s="2" t="s">
        <v>61</v>
      </c>
      <c r="H32" t="str" cm="1">
        <f t="array" ref="H32:J32">_xlfn.XLOOKUP(C32,Products!A:A,Products!B:D)</f>
        <v>Bluetooth Speaker</v>
      </c>
      <c r="I32" t="str">
        <v>Accessories</v>
      </c>
      <c r="J32">
        <v>79.989999999999995</v>
      </c>
      <c r="K32">
        <f t="shared" si="0"/>
        <v>159.97999999999999</v>
      </c>
      <c r="Q32" s="8"/>
    </row>
    <row r="33" spans="1:17" ht="14.25" customHeight="1" x14ac:dyDescent="0.3">
      <c r="A33" s="2" t="s">
        <v>81</v>
      </c>
      <c r="B33" s="2" t="s">
        <v>58</v>
      </c>
      <c r="C33" s="2" t="s">
        <v>7</v>
      </c>
      <c r="D33" s="2" t="s">
        <v>19</v>
      </c>
      <c r="E33" s="2" t="s">
        <v>52</v>
      </c>
      <c r="F33" s="2">
        <v>5</v>
      </c>
      <c r="G33" s="2" t="s">
        <v>25</v>
      </c>
      <c r="H33" t="str" cm="1">
        <f t="array" ref="H33:J33">_xlfn.XLOOKUP(C33,Products!A:A,Products!B:D)</f>
        <v>Smartphone X</v>
      </c>
      <c r="I33" t="str">
        <v>Electronics</v>
      </c>
      <c r="J33">
        <v>999.99</v>
      </c>
      <c r="K33">
        <f t="shared" si="0"/>
        <v>0</v>
      </c>
      <c r="Q33" s="8"/>
    </row>
    <row r="34" spans="1:17" ht="14.25" customHeight="1" x14ac:dyDescent="0.3">
      <c r="A34" s="2" t="s">
        <v>82</v>
      </c>
      <c r="B34" s="2" t="s">
        <v>27</v>
      </c>
      <c r="C34" s="2" t="s">
        <v>18</v>
      </c>
      <c r="D34" s="2" t="s">
        <v>41</v>
      </c>
      <c r="E34" s="2" t="s">
        <v>52</v>
      </c>
      <c r="F34" s="2">
        <v>3</v>
      </c>
      <c r="G34" s="2" t="s">
        <v>21</v>
      </c>
      <c r="H34" t="str" cm="1">
        <f t="array" ref="H34:J34">_xlfn.XLOOKUP(C34,Products!A:A,Products!B:D)</f>
        <v>Tablet Air</v>
      </c>
      <c r="I34" t="str">
        <v>Electronics</v>
      </c>
      <c r="J34">
        <v>499.99</v>
      </c>
      <c r="K34">
        <f t="shared" si="0"/>
        <v>1499.97</v>
      </c>
      <c r="Q34" s="8"/>
    </row>
    <row r="35" spans="1:17" ht="14.25" customHeight="1" x14ac:dyDescent="0.3">
      <c r="A35" s="2" t="s">
        <v>83</v>
      </c>
      <c r="B35" s="2" t="s">
        <v>34</v>
      </c>
      <c r="C35" s="2" t="s">
        <v>23</v>
      </c>
      <c r="D35" s="2" t="s">
        <v>60</v>
      </c>
      <c r="E35" s="2" t="s">
        <v>52</v>
      </c>
      <c r="F35" s="2">
        <v>3</v>
      </c>
      <c r="G35" s="2" t="s">
        <v>21</v>
      </c>
      <c r="H35" t="str" cm="1">
        <f t="array" ref="H35:J35">_xlfn.XLOOKUP(C35,Products!A:A,Products!B:D)</f>
        <v>4K Monitor</v>
      </c>
      <c r="I35" t="str">
        <v>Electronics</v>
      </c>
      <c r="J35">
        <v>349.99</v>
      </c>
      <c r="K35">
        <f t="shared" si="0"/>
        <v>1049.97</v>
      </c>
      <c r="Q35" s="8"/>
    </row>
    <row r="36" spans="1:17" ht="14.25" customHeight="1" x14ac:dyDescent="0.3">
      <c r="A36" s="2" t="s">
        <v>84</v>
      </c>
      <c r="B36" s="2" t="s">
        <v>56</v>
      </c>
      <c r="C36" s="2" t="s">
        <v>38</v>
      </c>
      <c r="D36" s="2" t="s">
        <v>41</v>
      </c>
      <c r="E36" s="2" t="s">
        <v>52</v>
      </c>
      <c r="F36" s="2">
        <v>2</v>
      </c>
      <c r="G36" s="2" t="s">
        <v>61</v>
      </c>
      <c r="H36" t="str" cm="1">
        <f t="array" ref="H36:J36">_xlfn.XLOOKUP(C36,Products!A:A,Products!B:D)</f>
        <v>Gaming Mouse</v>
      </c>
      <c r="I36" t="str">
        <v>Accessories</v>
      </c>
      <c r="J36">
        <v>49.99</v>
      </c>
      <c r="K36">
        <f t="shared" si="0"/>
        <v>99.98</v>
      </c>
      <c r="Q36" s="8"/>
    </row>
    <row r="37" spans="1:17" ht="14.25" customHeight="1" x14ac:dyDescent="0.3">
      <c r="A37" s="2" t="s">
        <v>85</v>
      </c>
      <c r="B37" s="2" t="s">
        <v>54</v>
      </c>
      <c r="C37" s="2" t="s">
        <v>23</v>
      </c>
      <c r="D37" s="2" t="s">
        <v>19</v>
      </c>
      <c r="E37" s="2" t="s">
        <v>20</v>
      </c>
      <c r="F37" s="2">
        <v>3</v>
      </c>
      <c r="G37" s="2" t="s">
        <v>25</v>
      </c>
      <c r="H37" t="str" cm="1">
        <f t="array" ref="H37:J37">_xlfn.XLOOKUP(C37,Products!A:A,Products!B:D)</f>
        <v>4K Monitor</v>
      </c>
      <c r="I37" t="str">
        <v>Electronics</v>
      </c>
      <c r="J37">
        <v>349.99</v>
      </c>
      <c r="K37">
        <f t="shared" si="0"/>
        <v>0</v>
      </c>
      <c r="Q37" s="8"/>
    </row>
    <row r="38" spans="1:17" ht="14.25" customHeight="1" x14ac:dyDescent="0.3">
      <c r="A38" s="2" t="s">
        <v>86</v>
      </c>
      <c r="B38" s="2" t="s">
        <v>58</v>
      </c>
      <c r="C38" s="2" t="s">
        <v>30</v>
      </c>
      <c r="D38" s="2" t="s">
        <v>19</v>
      </c>
      <c r="E38" s="2" t="s">
        <v>47</v>
      </c>
      <c r="F38" s="2">
        <v>2</v>
      </c>
      <c r="G38" s="2" t="s">
        <v>61</v>
      </c>
      <c r="H38" t="str" cm="1">
        <f t="array" ref="H38:J38">_xlfn.XLOOKUP(C38,Products!A:A,Products!B:D)</f>
        <v>Wireless Headphones</v>
      </c>
      <c r="I38" t="str">
        <v>Accessories</v>
      </c>
      <c r="J38">
        <v>149.99</v>
      </c>
      <c r="K38">
        <f t="shared" si="0"/>
        <v>299.98</v>
      </c>
      <c r="Q38" s="8"/>
    </row>
    <row r="39" spans="1:17" ht="14.25" customHeight="1" x14ac:dyDescent="0.3">
      <c r="A39" s="2" t="s">
        <v>87</v>
      </c>
      <c r="B39" s="2" t="s">
        <v>34</v>
      </c>
      <c r="C39" s="2" t="s">
        <v>23</v>
      </c>
      <c r="D39" s="2" t="s">
        <v>37</v>
      </c>
      <c r="E39" s="2" t="s">
        <v>47</v>
      </c>
      <c r="F39" s="2">
        <v>3</v>
      </c>
      <c r="G39" s="2" t="s">
        <v>21</v>
      </c>
      <c r="H39" t="str" cm="1">
        <f t="array" ref="H39:J39">_xlfn.XLOOKUP(C39,Products!A:A,Products!B:D)</f>
        <v>4K Monitor</v>
      </c>
      <c r="I39" t="str">
        <v>Electronics</v>
      </c>
      <c r="J39">
        <v>349.99</v>
      </c>
      <c r="K39">
        <f t="shared" si="0"/>
        <v>1049.97</v>
      </c>
      <c r="Q39" s="8"/>
    </row>
    <row r="40" spans="1:17" ht="14.25" customHeight="1" x14ac:dyDescent="0.3">
      <c r="A40" s="2" t="s">
        <v>88</v>
      </c>
      <c r="B40" s="2" t="s">
        <v>58</v>
      </c>
      <c r="C40" s="2" t="s">
        <v>18</v>
      </c>
      <c r="D40" s="2" t="s">
        <v>60</v>
      </c>
      <c r="E40" s="2" t="s">
        <v>20</v>
      </c>
      <c r="F40" s="2">
        <v>2</v>
      </c>
      <c r="G40" s="2" t="s">
        <v>21</v>
      </c>
      <c r="H40" t="str" cm="1">
        <f t="array" ref="H40:J40">_xlfn.XLOOKUP(C40,Products!A:A,Products!B:D)</f>
        <v>Tablet Air</v>
      </c>
      <c r="I40" t="str">
        <v>Electronics</v>
      </c>
      <c r="J40">
        <v>499.99</v>
      </c>
      <c r="K40">
        <f t="shared" si="0"/>
        <v>999.98</v>
      </c>
      <c r="Q40" s="8"/>
    </row>
    <row r="41" spans="1:17" ht="14.25" customHeight="1" x14ac:dyDescent="0.3">
      <c r="A41" s="2" t="s">
        <v>89</v>
      </c>
      <c r="B41" s="2" t="s">
        <v>54</v>
      </c>
      <c r="C41" s="2" t="s">
        <v>38</v>
      </c>
      <c r="D41" s="2" t="s">
        <v>37</v>
      </c>
      <c r="E41" s="2" t="s">
        <v>47</v>
      </c>
      <c r="F41" s="2">
        <v>1</v>
      </c>
      <c r="G41" s="2" t="s">
        <v>21</v>
      </c>
      <c r="H41" t="str" cm="1">
        <f t="array" ref="H41:J41">_xlfn.XLOOKUP(C41,Products!A:A,Products!B:D)</f>
        <v>Gaming Mouse</v>
      </c>
      <c r="I41" t="str">
        <v>Accessories</v>
      </c>
      <c r="J41">
        <v>49.99</v>
      </c>
      <c r="K41">
        <f t="shared" si="0"/>
        <v>49.99</v>
      </c>
      <c r="Q41" s="8"/>
    </row>
    <row r="42" spans="1:17" ht="14.25" customHeight="1" x14ac:dyDescent="0.3">
      <c r="A42" s="2" t="s">
        <v>90</v>
      </c>
      <c r="B42" s="2" t="s">
        <v>17</v>
      </c>
      <c r="C42" s="2" t="s">
        <v>7</v>
      </c>
      <c r="D42" s="2" t="s">
        <v>19</v>
      </c>
      <c r="E42" s="2" t="s">
        <v>47</v>
      </c>
      <c r="F42" s="2">
        <v>2</v>
      </c>
      <c r="G42" s="2" t="s">
        <v>21</v>
      </c>
      <c r="H42" t="str" cm="1">
        <f t="array" ref="H42:J42">_xlfn.XLOOKUP(C42,Products!A:A,Products!B:D)</f>
        <v>Smartphone X</v>
      </c>
      <c r="I42" t="str">
        <v>Electronics</v>
      </c>
      <c r="J42">
        <v>999.99</v>
      </c>
      <c r="K42">
        <f t="shared" si="0"/>
        <v>1999.98</v>
      </c>
      <c r="Q42" s="8"/>
    </row>
    <row r="43" spans="1:17" ht="14.25" customHeight="1" x14ac:dyDescent="0.3">
      <c r="A43" s="2" t="s">
        <v>91</v>
      </c>
      <c r="B43" s="2" t="s">
        <v>56</v>
      </c>
      <c r="C43" s="2" t="s">
        <v>23</v>
      </c>
      <c r="D43" s="2" t="s">
        <v>60</v>
      </c>
      <c r="E43" s="2" t="s">
        <v>20</v>
      </c>
      <c r="F43" s="2">
        <v>5</v>
      </c>
      <c r="G43" s="2" t="s">
        <v>21</v>
      </c>
      <c r="H43" t="str" cm="1">
        <f t="array" ref="H43:J43">_xlfn.XLOOKUP(C43,Products!A:A,Products!B:D)</f>
        <v>4K Monitor</v>
      </c>
      <c r="I43" t="str">
        <v>Electronics</v>
      </c>
      <c r="J43">
        <v>349.99</v>
      </c>
      <c r="K43">
        <f t="shared" si="0"/>
        <v>1749.95</v>
      </c>
      <c r="Q43" s="8"/>
    </row>
    <row r="44" spans="1:17" ht="14.25" customHeight="1" x14ac:dyDescent="0.3">
      <c r="A44" s="2" t="s">
        <v>92</v>
      </c>
      <c r="B44" s="2" t="s">
        <v>17</v>
      </c>
      <c r="C44" s="2" t="s">
        <v>43</v>
      </c>
      <c r="D44" s="2" t="s">
        <v>60</v>
      </c>
      <c r="E44" s="2" t="s">
        <v>47</v>
      </c>
      <c r="F44" s="2">
        <v>5</v>
      </c>
      <c r="G44" s="2" t="s">
        <v>21</v>
      </c>
      <c r="H44" t="str" cm="1">
        <f t="array" ref="H44:J44">_xlfn.XLOOKUP(C44,Products!A:A,Products!B:D)</f>
        <v>Bluetooth Speaker</v>
      </c>
      <c r="I44" t="str">
        <v>Accessories</v>
      </c>
      <c r="J44">
        <v>79.989999999999995</v>
      </c>
      <c r="K44">
        <f t="shared" si="0"/>
        <v>399.95</v>
      </c>
      <c r="Q44" s="8"/>
    </row>
    <row r="45" spans="1:17" ht="14.25" customHeight="1" x14ac:dyDescent="0.3">
      <c r="A45" s="2" t="s">
        <v>93</v>
      </c>
      <c r="B45" s="2" t="s">
        <v>54</v>
      </c>
      <c r="C45" s="2" t="s">
        <v>35</v>
      </c>
      <c r="D45" s="2" t="s">
        <v>60</v>
      </c>
      <c r="E45" s="2" t="s">
        <v>20</v>
      </c>
      <c r="F45" s="2">
        <v>5</v>
      </c>
      <c r="G45" s="2" t="s">
        <v>21</v>
      </c>
      <c r="H45" t="str" cm="1">
        <f t="array" ref="H45:J45">_xlfn.XLOOKUP(C45,Products!A:A,Products!B:D)</f>
        <v>Mechanical Keyboard</v>
      </c>
      <c r="I45" t="str">
        <v>Accessories</v>
      </c>
      <c r="J45">
        <v>89.99</v>
      </c>
      <c r="K45">
        <f t="shared" si="0"/>
        <v>449.95</v>
      </c>
      <c r="Q45" s="8"/>
    </row>
    <row r="46" spans="1:17" ht="14.25" customHeight="1" x14ac:dyDescent="0.3">
      <c r="A46" s="2" t="s">
        <v>94</v>
      </c>
      <c r="B46" s="2" t="s">
        <v>56</v>
      </c>
      <c r="C46" s="2" t="s">
        <v>30</v>
      </c>
      <c r="D46" s="2" t="s">
        <v>60</v>
      </c>
      <c r="E46" s="2" t="s">
        <v>20</v>
      </c>
      <c r="F46" s="2">
        <v>3</v>
      </c>
      <c r="G46" s="2" t="s">
        <v>21</v>
      </c>
      <c r="H46" t="str" cm="1">
        <f t="array" ref="H46:J46">_xlfn.XLOOKUP(C46,Products!A:A,Products!B:D)</f>
        <v>Wireless Headphones</v>
      </c>
      <c r="I46" t="str">
        <v>Accessories</v>
      </c>
      <c r="J46">
        <v>149.99</v>
      </c>
      <c r="K46">
        <f t="shared" si="0"/>
        <v>449.97</v>
      </c>
      <c r="Q46" s="8"/>
    </row>
    <row r="47" spans="1:17" ht="14.25" customHeight="1" x14ac:dyDescent="0.3">
      <c r="A47" s="2" t="s">
        <v>95</v>
      </c>
      <c r="B47" s="2" t="s">
        <v>34</v>
      </c>
      <c r="C47" s="2" t="s">
        <v>7</v>
      </c>
      <c r="D47" s="2" t="s">
        <v>41</v>
      </c>
      <c r="E47" s="2" t="s">
        <v>47</v>
      </c>
      <c r="F47" s="2">
        <v>4</v>
      </c>
      <c r="G47" s="2" t="s">
        <v>25</v>
      </c>
      <c r="H47" t="str" cm="1">
        <f t="array" ref="H47:J47">_xlfn.XLOOKUP(C47,Products!A:A,Products!B:D)</f>
        <v>Smartphone X</v>
      </c>
      <c r="I47" t="str">
        <v>Electronics</v>
      </c>
      <c r="J47">
        <v>999.99</v>
      </c>
      <c r="K47">
        <f t="shared" si="0"/>
        <v>0</v>
      </c>
      <c r="Q47" s="8"/>
    </row>
    <row r="48" spans="1:17" ht="14.25" customHeight="1" x14ac:dyDescent="0.3">
      <c r="A48" s="2" t="s">
        <v>96</v>
      </c>
      <c r="B48" s="2" t="s">
        <v>54</v>
      </c>
      <c r="C48" s="2" t="s">
        <v>30</v>
      </c>
      <c r="D48" s="2" t="s">
        <v>60</v>
      </c>
      <c r="E48" s="2" t="s">
        <v>52</v>
      </c>
      <c r="F48" s="2">
        <v>3</v>
      </c>
      <c r="G48" s="2" t="s">
        <v>61</v>
      </c>
      <c r="H48" t="str" cm="1">
        <f t="array" ref="H48:J48">_xlfn.XLOOKUP(C48,Products!A:A,Products!B:D)</f>
        <v>Wireless Headphones</v>
      </c>
      <c r="I48" t="str">
        <v>Accessories</v>
      </c>
      <c r="J48">
        <v>149.99</v>
      </c>
      <c r="K48">
        <f t="shared" si="0"/>
        <v>449.97</v>
      </c>
      <c r="Q48" s="8"/>
    </row>
    <row r="49" spans="1:17" ht="14.25" customHeight="1" x14ac:dyDescent="0.3">
      <c r="A49" s="2" t="s">
        <v>97</v>
      </c>
      <c r="B49" s="2" t="s">
        <v>17</v>
      </c>
      <c r="C49" s="2" t="s">
        <v>18</v>
      </c>
      <c r="D49" s="2" t="s">
        <v>41</v>
      </c>
      <c r="E49" s="2" t="s">
        <v>52</v>
      </c>
      <c r="F49" s="2">
        <v>3</v>
      </c>
      <c r="G49" s="2" t="s">
        <v>21</v>
      </c>
      <c r="H49" t="str" cm="1">
        <f t="array" ref="H49:J49">_xlfn.XLOOKUP(C49,Products!A:A,Products!B:D)</f>
        <v>Tablet Air</v>
      </c>
      <c r="I49" t="str">
        <v>Electronics</v>
      </c>
      <c r="J49">
        <v>499.99</v>
      </c>
      <c r="K49">
        <f t="shared" si="0"/>
        <v>1499.97</v>
      </c>
      <c r="Q49" s="8"/>
    </row>
    <row r="50" spans="1:17" ht="14.25" customHeight="1" x14ac:dyDescent="0.3">
      <c r="A50" s="2" t="s">
        <v>98</v>
      </c>
      <c r="B50" s="2" t="s">
        <v>27</v>
      </c>
      <c r="C50" s="2" t="s">
        <v>46</v>
      </c>
      <c r="D50" s="2" t="s">
        <v>60</v>
      </c>
      <c r="E50" s="2" t="s">
        <v>52</v>
      </c>
      <c r="F50" s="2">
        <v>1</v>
      </c>
      <c r="G50" s="2" t="s">
        <v>21</v>
      </c>
      <c r="H50" t="str" cm="1">
        <f t="array" ref="H50:J50">_xlfn.XLOOKUP(C50,Products!A:A,Products!B:D)</f>
        <v>Ergonomic Chair</v>
      </c>
      <c r="I50" t="str">
        <v>Furniture</v>
      </c>
      <c r="J50">
        <v>249.99</v>
      </c>
      <c r="K50">
        <f t="shared" si="0"/>
        <v>249.99</v>
      </c>
      <c r="Q50" s="8"/>
    </row>
    <row r="51" spans="1:17" ht="14.25" customHeight="1" x14ac:dyDescent="0.3">
      <c r="A51" s="2" t="s">
        <v>99</v>
      </c>
      <c r="B51" s="2" t="s">
        <v>56</v>
      </c>
      <c r="C51" s="2" t="s">
        <v>43</v>
      </c>
      <c r="D51" s="2" t="s">
        <v>29</v>
      </c>
      <c r="E51" s="2" t="s">
        <v>47</v>
      </c>
      <c r="F51" s="2">
        <v>5</v>
      </c>
      <c r="G51" s="2" t="s">
        <v>21</v>
      </c>
      <c r="H51" t="str" cm="1">
        <f t="array" ref="H51:J51">_xlfn.XLOOKUP(C51,Products!A:A,Products!B:D)</f>
        <v>Bluetooth Speaker</v>
      </c>
      <c r="I51" t="str">
        <v>Accessories</v>
      </c>
      <c r="J51">
        <v>79.989999999999995</v>
      </c>
      <c r="K51">
        <f t="shared" si="0"/>
        <v>399.95</v>
      </c>
      <c r="Q51" s="8"/>
    </row>
    <row r="52" spans="1:17" ht="14.25" customHeight="1" x14ac:dyDescent="0.3">
      <c r="A52" s="2" t="s">
        <v>100</v>
      </c>
      <c r="B52" s="2" t="s">
        <v>34</v>
      </c>
      <c r="C52" s="2" t="s">
        <v>43</v>
      </c>
      <c r="D52" s="2" t="s">
        <v>60</v>
      </c>
      <c r="E52" s="2" t="s">
        <v>20</v>
      </c>
      <c r="F52" s="2">
        <v>1</v>
      </c>
      <c r="G52" s="2" t="s">
        <v>61</v>
      </c>
      <c r="H52" t="str" cm="1">
        <f t="array" ref="H52:J52">_xlfn.XLOOKUP(C52,Products!A:A,Products!B:D)</f>
        <v>Bluetooth Speaker</v>
      </c>
      <c r="I52" t="str">
        <v>Accessories</v>
      </c>
      <c r="J52">
        <v>79.989999999999995</v>
      </c>
      <c r="K52">
        <f t="shared" si="0"/>
        <v>79.989999999999995</v>
      </c>
      <c r="Q52" s="8"/>
    </row>
    <row r="53" spans="1:17" ht="14.25" customHeight="1" x14ac:dyDescent="0.3">
      <c r="A53" s="2" t="s">
        <v>101</v>
      </c>
      <c r="B53" s="2" t="s">
        <v>54</v>
      </c>
      <c r="C53" s="2" t="s">
        <v>43</v>
      </c>
      <c r="D53" s="2" t="s">
        <v>29</v>
      </c>
      <c r="E53" s="2" t="s">
        <v>52</v>
      </c>
      <c r="F53" s="2">
        <v>5</v>
      </c>
      <c r="G53" s="2" t="s">
        <v>21</v>
      </c>
      <c r="H53" t="str" cm="1">
        <f t="array" ref="H53:J53">_xlfn.XLOOKUP(C53,Products!A:A,Products!B:D)</f>
        <v>Bluetooth Speaker</v>
      </c>
      <c r="I53" t="str">
        <v>Accessories</v>
      </c>
      <c r="J53">
        <v>79.989999999999995</v>
      </c>
      <c r="K53">
        <f t="shared" si="0"/>
        <v>399.95</v>
      </c>
      <c r="Q53" s="8"/>
    </row>
    <row r="54" spans="1:17" ht="14.25" customHeight="1" x14ac:dyDescent="0.3">
      <c r="A54" s="2" t="s">
        <v>102</v>
      </c>
      <c r="B54" s="2" t="s">
        <v>17</v>
      </c>
      <c r="C54" s="2" t="s">
        <v>23</v>
      </c>
      <c r="D54" s="2" t="s">
        <v>60</v>
      </c>
      <c r="E54" s="2" t="s">
        <v>20</v>
      </c>
      <c r="F54" s="2">
        <v>2</v>
      </c>
      <c r="G54" s="2" t="s">
        <v>61</v>
      </c>
      <c r="H54" t="str" cm="1">
        <f t="array" ref="H54:J54">_xlfn.XLOOKUP(C54,Products!A:A,Products!B:D)</f>
        <v>4K Monitor</v>
      </c>
      <c r="I54" t="str">
        <v>Electronics</v>
      </c>
      <c r="J54">
        <v>349.99</v>
      </c>
      <c r="K54">
        <f t="shared" si="0"/>
        <v>699.98</v>
      </c>
      <c r="Q54" s="8"/>
    </row>
    <row r="55" spans="1:17" ht="14.25" customHeight="1" x14ac:dyDescent="0.3">
      <c r="A55" s="2" t="s">
        <v>103</v>
      </c>
      <c r="B55" s="2" t="s">
        <v>34</v>
      </c>
      <c r="C55" s="2" t="s">
        <v>43</v>
      </c>
      <c r="D55" s="2" t="s">
        <v>37</v>
      </c>
      <c r="E55" s="2" t="s">
        <v>24</v>
      </c>
      <c r="F55" s="2">
        <v>4</v>
      </c>
      <c r="G55" s="2" t="s">
        <v>25</v>
      </c>
      <c r="H55" t="str" cm="1">
        <f t="array" ref="H55:J55">_xlfn.XLOOKUP(C55,Products!A:A,Products!B:D)</f>
        <v>Bluetooth Speaker</v>
      </c>
      <c r="I55" t="str">
        <v>Accessories</v>
      </c>
      <c r="J55">
        <v>79.989999999999995</v>
      </c>
      <c r="K55">
        <f t="shared" si="0"/>
        <v>0</v>
      </c>
      <c r="Q55" s="8"/>
    </row>
    <row r="56" spans="1:17" ht="14.25" customHeight="1" x14ac:dyDescent="0.3">
      <c r="A56" s="2" t="s">
        <v>104</v>
      </c>
      <c r="B56" s="2" t="s">
        <v>27</v>
      </c>
      <c r="C56" s="2" t="s">
        <v>38</v>
      </c>
      <c r="D56" s="2" t="s">
        <v>19</v>
      </c>
      <c r="E56" s="2" t="s">
        <v>24</v>
      </c>
      <c r="F56" s="2">
        <v>4</v>
      </c>
      <c r="G56" s="2" t="s">
        <v>21</v>
      </c>
      <c r="H56" t="str" cm="1">
        <f t="array" ref="H56:J56">_xlfn.XLOOKUP(C56,Products!A:A,Products!B:D)</f>
        <v>Gaming Mouse</v>
      </c>
      <c r="I56" t="str">
        <v>Accessories</v>
      </c>
      <c r="J56">
        <v>49.99</v>
      </c>
      <c r="K56">
        <f t="shared" si="0"/>
        <v>199.96</v>
      </c>
      <c r="Q56" s="8"/>
    </row>
    <row r="57" spans="1:17" ht="14.25" customHeight="1" x14ac:dyDescent="0.3">
      <c r="A57" s="2" t="s">
        <v>105</v>
      </c>
      <c r="B57" s="2" t="s">
        <v>34</v>
      </c>
      <c r="C57" s="2" t="s">
        <v>18</v>
      </c>
      <c r="D57" s="2" t="s">
        <v>41</v>
      </c>
      <c r="E57" s="2" t="s">
        <v>52</v>
      </c>
      <c r="F57" s="2">
        <v>5</v>
      </c>
      <c r="G57" s="2" t="s">
        <v>21</v>
      </c>
      <c r="H57" t="str" cm="1">
        <f t="array" ref="H57:J57">_xlfn.XLOOKUP(C57,Products!A:A,Products!B:D)</f>
        <v>Tablet Air</v>
      </c>
      <c r="I57" t="str">
        <v>Electronics</v>
      </c>
      <c r="J57">
        <v>499.99</v>
      </c>
      <c r="K57">
        <f t="shared" si="0"/>
        <v>2499.9499999999998</v>
      </c>
      <c r="Q57" s="8"/>
    </row>
    <row r="58" spans="1:17" ht="14.25" customHeight="1" x14ac:dyDescent="0.3">
      <c r="A58" s="2" t="s">
        <v>106</v>
      </c>
      <c r="B58" s="2" t="s">
        <v>17</v>
      </c>
      <c r="C58" s="2" t="s">
        <v>35</v>
      </c>
      <c r="D58" s="2" t="s">
        <v>37</v>
      </c>
      <c r="E58" s="2" t="s">
        <v>52</v>
      </c>
      <c r="F58" s="2">
        <v>1</v>
      </c>
      <c r="G58" s="2" t="s">
        <v>21</v>
      </c>
      <c r="H58" t="str" cm="1">
        <f t="array" ref="H58:J58">_xlfn.XLOOKUP(C58,Products!A:A,Products!B:D)</f>
        <v>Mechanical Keyboard</v>
      </c>
      <c r="I58" t="str">
        <v>Accessories</v>
      </c>
      <c r="J58">
        <v>89.99</v>
      </c>
      <c r="K58">
        <f t="shared" si="0"/>
        <v>89.99</v>
      </c>
      <c r="Q58" s="8"/>
    </row>
    <row r="59" spans="1:17" ht="14.25" customHeight="1" x14ac:dyDescent="0.3">
      <c r="A59" s="2" t="s">
        <v>107</v>
      </c>
      <c r="B59" s="2" t="s">
        <v>54</v>
      </c>
      <c r="C59" s="2" t="s">
        <v>23</v>
      </c>
      <c r="D59" s="2" t="s">
        <v>29</v>
      </c>
      <c r="E59" s="2" t="s">
        <v>24</v>
      </c>
      <c r="F59" s="2">
        <v>1</v>
      </c>
      <c r="G59" s="2" t="s">
        <v>61</v>
      </c>
      <c r="H59" t="str" cm="1">
        <f t="array" ref="H59:J59">_xlfn.XLOOKUP(C59,Products!A:A,Products!B:D)</f>
        <v>4K Monitor</v>
      </c>
      <c r="I59" t="str">
        <v>Electronics</v>
      </c>
      <c r="J59">
        <v>349.99</v>
      </c>
      <c r="K59">
        <f t="shared" si="0"/>
        <v>349.99</v>
      </c>
      <c r="Q59" s="8"/>
    </row>
    <row r="60" spans="1:17" ht="14.25" customHeight="1" x14ac:dyDescent="0.3">
      <c r="A60" s="2" t="s">
        <v>108</v>
      </c>
      <c r="B60" s="2" t="s">
        <v>56</v>
      </c>
      <c r="C60" s="2" t="s">
        <v>30</v>
      </c>
      <c r="D60" s="2" t="s">
        <v>37</v>
      </c>
      <c r="E60" s="2" t="s">
        <v>20</v>
      </c>
      <c r="F60" s="2">
        <v>2</v>
      </c>
      <c r="G60" s="2" t="s">
        <v>21</v>
      </c>
      <c r="H60" t="str" cm="1">
        <f t="array" ref="H60:J60">_xlfn.XLOOKUP(C60,Products!A:A,Products!B:D)</f>
        <v>Wireless Headphones</v>
      </c>
      <c r="I60" t="str">
        <v>Accessories</v>
      </c>
      <c r="J60">
        <v>149.99</v>
      </c>
      <c r="K60">
        <f t="shared" si="0"/>
        <v>299.98</v>
      </c>
      <c r="Q60" s="8"/>
    </row>
    <row r="61" spans="1:17" ht="14.25" customHeight="1" x14ac:dyDescent="0.3">
      <c r="A61" s="2" t="s">
        <v>109</v>
      </c>
      <c r="B61" s="2" t="s">
        <v>27</v>
      </c>
      <c r="C61" s="2" t="s">
        <v>18</v>
      </c>
      <c r="D61" s="2" t="s">
        <v>41</v>
      </c>
      <c r="E61" s="2" t="s">
        <v>52</v>
      </c>
      <c r="F61" s="2">
        <v>5</v>
      </c>
      <c r="G61" s="2" t="s">
        <v>21</v>
      </c>
      <c r="H61" t="str" cm="1">
        <f t="array" ref="H61:J61">_xlfn.XLOOKUP(C61,Products!A:A,Products!B:D)</f>
        <v>Tablet Air</v>
      </c>
      <c r="I61" t="str">
        <v>Electronics</v>
      </c>
      <c r="J61">
        <v>499.99</v>
      </c>
      <c r="K61">
        <f t="shared" si="0"/>
        <v>2499.9499999999998</v>
      </c>
      <c r="Q61" s="8"/>
    </row>
    <row r="62" spans="1:17" ht="14.25" customHeight="1" x14ac:dyDescent="0.3">
      <c r="A62" s="2" t="s">
        <v>110</v>
      </c>
      <c r="B62" s="2" t="s">
        <v>27</v>
      </c>
      <c r="C62" s="2" t="s">
        <v>38</v>
      </c>
      <c r="D62" s="2" t="s">
        <v>37</v>
      </c>
      <c r="E62" s="2" t="s">
        <v>47</v>
      </c>
      <c r="F62" s="2">
        <v>5</v>
      </c>
      <c r="G62" s="2" t="s">
        <v>21</v>
      </c>
      <c r="H62" t="str" cm="1">
        <f t="array" ref="H62:J62">_xlfn.XLOOKUP(C62,Products!A:A,Products!B:D)</f>
        <v>Gaming Mouse</v>
      </c>
      <c r="I62" t="str">
        <v>Accessories</v>
      </c>
      <c r="J62">
        <v>49.99</v>
      </c>
      <c r="K62">
        <f t="shared" si="0"/>
        <v>249.95000000000002</v>
      </c>
      <c r="Q62" s="8"/>
    </row>
    <row r="63" spans="1:17" ht="14.25" customHeight="1" x14ac:dyDescent="0.3">
      <c r="A63" s="2" t="s">
        <v>111</v>
      </c>
      <c r="B63" s="2" t="s">
        <v>58</v>
      </c>
      <c r="C63" s="2" t="s">
        <v>18</v>
      </c>
      <c r="D63" s="2" t="s">
        <v>29</v>
      </c>
      <c r="E63" s="2" t="s">
        <v>47</v>
      </c>
      <c r="F63" s="2">
        <v>2</v>
      </c>
      <c r="G63" s="2" t="s">
        <v>25</v>
      </c>
      <c r="H63" t="str" cm="1">
        <f t="array" ref="H63:J63">_xlfn.XLOOKUP(C63,Products!A:A,Products!B:D)</f>
        <v>Tablet Air</v>
      </c>
      <c r="I63" t="str">
        <v>Electronics</v>
      </c>
      <c r="J63">
        <v>499.99</v>
      </c>
      <c r="K63">
        <f t="shared" si="0"/>
        <v>0</v>
      </c>
      <c r="Q63" s="8"/>
    </row>
    <row r="64" spans="1:17" ht="14.25" customHeight="1" x14ac:dyDescent="0.3">
      <c r="A64" s="2" t="s">
        <v>112</v>
      </c>
      <c r="B64" s="2" t="s">
        <v>27</v>
      </c>
      <c r="C64" s="2" t="s">
        <v>7</v>
      </c>
      <c r="D64" s="2" t="s">
        <v>37</v>
      </c>
      <c r="E64" s="2" t="s">
        <v>47</v>
      </c>
      <c r="F64" s="2">
        <v>5</v>
      </c>
      <c r="G64" s="2" t="s">
        <v>21</v>
      </c>
      <c r="H64" t="str" cm="1">
        <f t="array" ref="H64:J64">_xlfn.XLOOKUP(C64,Products!A:A,Products!B:D)</f>
        <v>Smartphone X</v>
      </c>
      <c r="I64" t="str">
        <v>Electronics</v>
      </c>
      <c r="J64">
        <v>999.99</v>
      </c>
      <c r="K64">
        <f t="shared" si="0"/>
        <v>4999.95</v>
      </c>
      <c r="Q64" s="8"/>
    </row>
    <row r="65" spans="1:17" ht="14.25" customHeight="1" x14ac:dyDescent="0.3">
      <c r="A65" s="2" t="s">
        <v>113</v>
      </c>
      <c r="B65" s="2" t="s">
        <v>58</v>
      </c>
      <c r="C65" s="2" t="s">
        <v>23</v>
      </c>
      <c r="D65" s="2" t="s">
        <v>19</v>
      </c>
      <c r="E65" s="2" t="s">
        <v>20</v>
      </c>
      <c r="F65" s="2">
        <v>2</v>
      </c>
      <c r="G65" s="2" t="s">
        <v>21</v>
      </c>
      <c r="H65" t="str" cm="1">
        <f t="array" ref="H65:J65">_xlfn.XLOOKUP(C65,Products!A:A,Products!B:D)</f>
        <v>4K Monitor</v>
      </c>
      <c r="I65" t="str">
        <v>Electronics</v>
      </c>
      <c r="J65">
        <v>349.99</v>
      </c>
      <c r="K65">
        <f t="shared" si="0"/>
        <v>699.98</v>
      </c>
      <c r="Q65" s="8"/>
    </row>
    <row r="66" spans="1:17" ht="14.25" customHeight="1" x14ac:dyDescent="0.3">
      <c r="A66" s="2" t="s">
        <v>114</v>
      </c>
      <c r="B66" s="2" t="s">
        <v>17</v>
      </c>
      <c r="C66" s="2" t="s">
        <v>43</v>
      </c>
      <c r="D66" s="2" t="s">
        <v>37</v>
      </c>
      <c r="E66" s="2" t="s">
        <v>52</v>
      </c>
      <c r="F66" s="2">
        <v>2</v>
      </c>
      <c r="G66" s="2" t="s">
        <v>25</v>
      </c>
      <c r="H66" t="str" cm="1">
        <f t="array" ref="H66:J66">_xlfn.XLOOKUP(C66,Products!A:A,Products!B:D)</f>
        <v>Bluetooth Speaker</v>
      </c>
      <c r="I66" t="str">
        <v>Accessories</v>
      </c>
      <c r="J66">
        <v>79.989999999999995</v>
      </c>
      <c r="K66">
        <f t="shared" si="0"/>
        <v>0</v>
      </c>
      <c r="Q66" s="8"/>
    </row>
    <row r="67" spans="1:17" ht="14.25" customHeight="1" x14ac:dyDescent="0.3">
      <c r="A67" s="2" t="s">
        <v>115</v>
      </c>
      <c r="B67" s="2" t="s">
        <v>34</v>
      </c>
      <c r="C67" s="2" t="s">
        <v>23</v>
      </c>
      <c r="D67" s="2" t="s">
        <v>41</v>
      </c>
      <c r="E67" s="2" t="s">
        <v>24</v>
      </c>
      <c r="F67" s="2">
        <v>4</v>
      </c>
      <c r="G67" s="2" t="s">
        <v>61</v>
      </c>
      <c r="H67" t="str" cm="1">
        <f t="array" ref="H67:J67">_xlfn.XLOOKUP(C67,Products!A:A,Products!B:D)</f>
        <v>4K Monitor</v>
      </c>
      <c r="I67" t="str">
        <v>Electronics</v>
      </c>
      <c r="J67">
        <v>349.99</v>
      </c>
      <c r="K67">
        <f t="shared" ref="K67:K130" si="2">IF(G67="Cancelled", 0, F67*J67)</f>
        <v>1399.96</v>
      </c>
      <c r="Q67" s="8"/>
    </row>
    <row r="68" spans="1:17" ht="14.25" customHeight="1" x14ac:dyDescent="0.3">
      <c r="A68" s="2" t="s">
        <v>116</v>
      </c>
      <c r="B68" s="2" t="s">
        <v>27</v>
      </c>
      <c r="C68" s="2" t="s">
        <v>35</v>
      </c>
      <c r="D68" s="2" t="s">
        <v>29</v>
      </c>
      <c r="E68" s="2" t="s">
        <v>52</v>
      </c>
      <c r="F68" s="2">
        <v>3</v>
      </c>
      <c r="G68" s="2" t="s">
        <v>21</v>
      </c>
      <c r="H68" t="str" cm="1">
        <f t="array" ref="H68:J68">_xlfn.XLOOKUP(C68,Products!A:A,Products!B:D)</f>
        <v>Mechanical Keyboard</v>
      </c>
      <c r="I68" t="str">
        <v>Accessories</v>
      </c>
      <c r="J68">
        <v>89.99</v>
      </c>
      <c r="K68">
        <f t="shared" si="2"/>
        <v>269.96999999999997</v>
      </c>
      <c r="Q68" s="8"/>
    </row>
    <row r="69" spans="1:17" ht="14.25" customHeight="1" x14ac:dyDescent="0.3">
      <c r="A69" s="2" t="s">
        <v>117</v>
      </c>
      <c r="B69" s="2" t="s">
        <v>34</v>
      </c>
      <c r="C69" s="2" t="s">
        <v>18</v>
      </c>
      <c r="D69" s="2" t="s">
        <v>29</v>
      </c>
      <c r="E69" s="2" t="s">
        <v>24</v>
      </c>
      <c r="F69" s="2">
        <v>1</v>
      </c>
      <c r="G69" s="2" t="s">
        <v>25</v>
      </c>
      <c r="H69" t="str" cm="1">
        <f t="array" ref="H69:J69">_xlfn.XLOOKUP(C69,Products!A:A,Products!B:D)</f>
        <v>Tablet Air</v>
      </c>
      <c r="I69" t="str">
        <v>Electronics</v>
      </c>
      <c r="J69">
        <v>499.99</v>
      </c>
      <c r="K69">
        <f t="shared" si="2"/>
        <v>0</v>
      </c>
      <c r="Q69" s="8"/>
    </row>
    <row r="70" spans="1:17" ht="14.25" customHeight="1" x14ac:dyDescent="0.3">
      <c r="A70" s="2" t="s">
        <v>118</v>
      </c>
      <c r="B70" s="2" t="s">
        <v>58</v>
      </c>
      <c r="C70" s="2" t="s">
        <v>38</v>
      </c>
      <c r="D70" s="2" t="s">
        <v>19</v>
      </c>
      <c r="E70" s="2" t="s">
        <v>52</v>
      </c>
      <c r="F70" s="2">
        <v>5</v>
      </c>
      <c r="G70" s="2" t="s">
        <v>61</v>
      </c>
      <c r="H70" t="str" cm="1">
        <f t="array" ref="H70:J70">_xlfn.XLOOKUP(C70,Products!A:A,Products!B:D)</f>
        <v>Gaming Mouse</v>
      </c>
      <c r="I70" t="str">
        <v>Accessories</v>
      </c>
      <c r="J70">
        <v>49.99</v>
      </c>
      <c r="K70">
        <f t="shared" si="2"/>
        <v>249.95000000000002</v>
      </c>
      <c r="Q70" s="8"/>
    </row>
    <row r="71" spans="1:17" ht="14.25" customHeight="1" x14ac:dyDescent="0.3">
      <c r="A71" s="2" t="s">
        <v>119</v>
      </c>
      <c r="B71" s="2" t="s">
        <v>27</v>
      </c>
      <c r="C71" s="2" t="s">
        <v>38</v>
      </c>
      <c r="D71" s="2" t="s">
        <v>37</v>
      </c>
      <c r="E71" s="2" t="s">
        <v>47</v>
      </c>
      <c r="F71" s="2">
        <v>3</v>
      </c>
      <c r="G71" s="2" t="s">
        <v>21</v>
      </c>
      <c r="H71" t="str" cm="1">
        <f t="array" ref="H71:J71">_xlfn.XLOOKUP(C71,Products!A:A,Products!B:D)</f>
        <v>Gaming Mouse</v>
      </c>
      <c r="I71" t="str">
        <v>Accessories</v>
      </c>
      <c r="J71">
        <v>49.99</v>
      </c>
      <c r="K71">
        <f t="shared" si="2"/>
        <v>149.97</v>
      </c>
      <c r="Q71" s="8"/>
    </row>
    <row r="72" spans="1:17" ht="14.25" customHeight="1" x14ac:dyDescent="0.3">
      <c r="A72" s="2" t="s">
        <v>120</v>
      </c>
      <c r="B72" s="2" t="s">
        <v>54</v>
      </c>
      <c r="C72" s="2" t="s">
        <v>43</v>
      </c>
      <c r="D72" s="2" t="s">
        <v>19</v>
      </c>
      <c r="E72" s="2" t="s">
        <v>52</v>
      </c>
      <c r="F72" s="2">
        <v>3</v>
      </c>
      <c r="G72" s="2" t="s">
        <v>25</v>
      </c>
      <c r="H72" t="str" cm="1">
        <f t="array" ref="H72:J72">_xlfn.XLOOKUP(C72,Products!A:A,Products!B:D)</f>
        <v>Bluetooth Speaker</v>
      </c>
      <c r="I72" t="str">
        <v>Accessories</v>
      </c>
      <c r="J72">
        <v>79.989999999999995</v>
      </c>
      <c r="K72">
        <f t="shared" si="2"/>
        <v>0</v>
      </c>
      <c r="Q72" s="8"/>
    </row>
    <row r="73" spans="1:17" ht="14.25" customHeight="1" x14ac:dyDescent="0.3">
      <c r="A73" s="2" t="s">
        <v>121</v>
      </c>
      <c r="B73" s="2" t="s">
        <v>54</v>
      </c>
      <c r="C73" s="2" t="s">
        <v>30</v>
      </c>
      <c r="D73" s="2" t="s">
        <v>19</v>
      </c>
      <c r="E73" s="2" t="s">
        <v>20</v>
      </c>
      <c r="F73" s="2">
        <v>3</v>
      </c>
      <c r="G73" s="2" t="s">
        <v>61</v>
      </c>
      <c r="H73" t="str" cm="1">
        <f t="array" ref="H73:J73">_xlfn.XLOOKUP(C73,Products!A:A,Products!B:D)</f>
        <v>Wireless Headphones</v>
      </c>
      <c r="I73" t="str">
        <v>Accessories</v>
      </c>
      <c r="J73">
        <v>149.99</v>
      </c>
      <c r="K73">
        <f t="shared" si="2"/>
        <v>449.97</v>
      </c>
      <c r="Q73" s="8"/>
    </row>
    <row r="74" spans="1:17" ht="14.25" customHeight="1" x14ac:dyDescent="0.3">
      <c r="A74" s="2" t="s">
        <v>122</v>
      </c>
      <c r="B74" s="2" t="s">
        <v>54</v>
      </c>
      <c r="C74" s="2" t="s">
        <v>30</v>
      </c>
      <c r="D74" s="2" t="s">
        <v>19</v>
      </c>
      <c r="E74" s="2" t="s">
        <v>47</v>
      </c>
      <c r="F74" s="2">
        <v>3</v>
      </c>
      <c r="G74" s="2" t="s">
        <v>21</v>
      </c>
      <c r="H74" t="str" cm="1">
        <f t="array" ref="H74:J74">_xlfn.XLOOKUP(C74,Products!A:A,Products!B:D)</f>
        <v>Wireless Headphones</v>
      </c>
      <c r="I74" t="str">
        <v>Accessories</v>
      </c>
      <c r="J74">
        <v>149.99</v>
      </c>
      <c r="K74">
        <f t="shared" si="2"/>
        <v>449.97</v>
      </c>
      <c r="Q74" s="8"/>
    </row>
    <row r="75" spans="1:17" ht="14.25" customHeight="1" x14ac:dyDescent="0.3">
      <c r="A75" s="2" t="s">
        <v>123</v>
      </c>
      <c r="B75" s="2" t="s">
        <v>27</v>
      </c>
      <c r="C75" s="2" t="s">
        <v>30</v>
      </c>
      <c r="D75" s="2" t="s">
        <v>41</v>
      </c>
      <c r="E75" s="2" t="s">
        <v>47</v>
      </c>
      <c r="F75" s="2">
        <v>2</v>
      </c>
      <c r="G75" s="2" t="s">
        <v>21</v>
      </c>
      <c r="H75" t="str" cm="1">
        <f t="array" ref="H75:J75">_xlfn.XLOOKUP(C75,Products!A:A,Products!B:D)</f>
        <v>Wireless Headphones</v>
      </c>
      <c r="I75" t="str">
        <v>Accessories</v>
      </c>
      <c r="J75">
        <v>149.99</v>
      </c>
      <c r="K75">
        <f t="shared" si="2"/>
        <v>299.98</v>
      </c>
      <c r="Q75" s="8"/>
    </row>
    <row r="76" spans="1:17" ht="14.25" customHeight="1" x14ac:dyDescent="0.3">
      <c r="A76" s="2" t="s">
        <v>124</v>
      </c>
      <c r="B76" s="2" t="s">
        <v>17</v>
      </c>
      <c r="C76" s="2" t="s">
        <v>38</v>
      </c>
      <c r="D76" s="2" t="s">
        <v>29</v>
      </c>
      <c r="E76" s="2" t="s">
        <v>47</v>
      </c>
      <c r="F76" s="2">
        <v>4</v>
      </c>
      <c r="G76" s="2" t="s">
        <v>21</v>
      </c>
      <c r="H76" t="str" cm="1">
        <f t="array" ref="H76:J76">_xlfn.XLOOKUP(C76,Products!A:A,Products!B:D)</f>
        <v>Gaming Mouse</v>
      </c>
      <c r="I76" t="str">
        <v>Accessories</v>
      </c>
      <c r="J76">
        <v>49.99</v>
      </c>
      <c r="K76">
        <f t="shared" si="2"/>
        <v>199.96</v>
      </c>
      <c r="Q76" s="8"/>
    </row>
    <row r="77" spans="1:17" ht="14.25" customHeight="1" x14ac:dyDescent="0.3">
      <c r="A77" s="2" t="s">
        <v>125</v>
      </c>
      <c r="B77" s="2" t="s">
        <v>58</v>
      </c>
      <c r="C77" s="2" t="s">
        <v>7</v>
      </c>
      <c r="D77" s="2" t="s">
        <v>29</v>
      </c>
      <c r="E77" s="2" t="s">
        <v>24</v>
      </c>
      <c r="F77" s="2">
        <v>4</v>
      </c>
      <c r="G77" s="2" t="s">
        <v>21</v>
      </c>
      <c r="H77" t="str" cm="1">
        <f t="array" ref="H77:J77">_xlfn.XLOOKUP(C77,Products!A:A,Products!B:D)</f>
        <v>Smartphone X</v>
      </c>
      <c r="I77" t="str">
        <v>Electronics</v>
      </c>
      <c r="J77">
        <v>999.99</v>
      </c>
      <c r="K77">
        <f t="shared" si="2"/>
        <v>3999.96</v>
      </c>
      <c r="Q77" s="8"/>
    </row>
    <row r="78" spans="1:17" ht="14.25" customHeight="1" x14ac:dyDescent="0.3">
      <c r="A78" s="2" t="s">
        <v>126</v>
      </c>
      <c r="B78" s="2" t="s">
        <v>17</v>
      </c>
      <c r="C78" s="2" t="s">
        <v>38</v>
      </c>
      <c r="D78" s="2" t="s">
        <v>29</v>
      </c>
      <c r="E78" s="2" t="s">
        <v>20</v>
      </c>
      <c r="F78" s="2">
        <v>2</v>
      </c>
      <c r="G78" s="2" t="s">
        <v>21</v>
      </c>
      <c r="H78" t="str" cm="1">
        <f t="array" ref="H78:J78">_xlfn.XLOOKUP(C78,Products!A:A,Products!B:D)</f>
        <v>Gaming Mouse</v>
      </c>
      <c r="I78" t="str">
        <v>Accessories</v>
      </c>
      <c r="J78">
        <v>49.99</v>
      </c>
      <c r="K78">
        <f t="shared" si="2"/>
        <v>99.98</v>
      </c>
      <c r="Q78" s="8"/>
    </row>
    <row r="79" spans="1:17" ht="14.25" customHeight="1" x14ac:dyDescent="0.3">
      <c r="A79" s="2" t="s">
        <v>127</v>
      </c>
      <c r="B79" s="2" t="s">
        <v>54</v>
      </c>
      <c r="C79" s="2" t="s">
        <v>30</v>
      </c>
      <c r="D79" s="2" t="s">
        <v>60</v>
      </c>
      <c r="E79" s="2" t="s">
        <v>52</v>
      </c>
      <c r="F79" s="2">
        <v>3</v>
      </c>
      <c r="G79" s="2" t="s">
        <v>25</v>
      </c>
      <c r="H79" t="str" cm="1">
        <f t="array" ref="H79:J79">_xlfn.XLOOKUP(C79,Products!A:A,Products!B:D)</f>
        <v>Wireless Headphones</v>
      </c>
      <c r="I79" t="str">
        <v>Accessories</v>
      </c>
      <c r="J79">
        <v>149.99</v>
      </c>
      <c r="K79">
        <f t="shared" si="2"/>
        <v>0</v>
      </c>
      <c r="Q79" s="8"/>
    </row>
    <row r="80" spans="1:17" ht="14.25" customHeight="1" x14ac:dyDescent="0.3">
      <c r="A80" s="2" t="s">
        <v>128</v>
      </c>
      <c r="B80" s="2" t="s">
        <v>17</v>
      </c>
      <c r="C80" s="2" t="s">
        <v>35</v>
      </c>
      <c r="D80" s="2" t="s">
        <v>37</v>
      </c>
      <c r="E80" s="2" t="s">
        <v>20</v>
      </c>
      <c r="F80" s="2">
        <v>2</v>
      </c>
      <c r="G80" s="2" t="s">
        <v>21</v>
      </c>
      <c r="H80" t="str" cm="1">
        <f t="array" ref="H80:J80">_xlfn.XLOOKUP(C80,Products!A:A,Products!B:D)</f>
        <v>Mechanical Keyboard</v>
      </c>
      <c r="I80" t="str">
        <v>Accessories</v>
      </c>
      <c r="J80">
        <v>89.99</v>
      </c>
      <c r="K80">
        <f t="shared" si="2"/>
        <v>179.98</v>
      </c>
      <c r="Q80" s="8"/>
    </row>
    <row r="81" spans="1:17" ht="14.25" customHeight="1" x14ac:dyDescent="0.3">
      <c r="A81" s="2" t="s">
        <v>129</v>
      </c>
      <c r="B81" s="2" t="s">
        <v>58</v>
      </c>
      <c r="C81" s="2" t="s">
        <v>43</v>
      </c>
      <c r="D81" s="2" t="s">
        <v>19</v>
      </c>
      <c r="E81" s="2" t="s">
        <v>47</v>
      </c>
      <c r="F81" s="2">
        <v>2</v>
      </c>
      <c r="G81" s="2" t="s">
        <v>21</v>
      </c>
      <c r="H81" t="str" cm="1">
        <f t="array" ref="H81:J81">_xlfn.XLOOKUP(C81,Products!A:A,Products!B:D)</f>
        <v>Bluetooth Speaker</v>
      </c>
      <c r="I81" t="str">
        <v>Accessories</v>
      </c>
      <c r="J81">
        <v>79.989999999999995</v>
      </c>
      <c r="K81">
        <f t="shared" si="2"/>
        <v>159.97999999999999</v>
      </c>
      <c r="Q81" s="8"/>
    </row>
    <row r="82" spans="1:17" ht="14.25" customHeight="1" x14ac:dyDescent="0.3">
      <c r="A82" s="2" t="s">
        <v>130</v>
      </c>
      <c r="B82" s="2" t="s">
        <v>54</v>
      </c>
      <c r="C82" s="2" t="s">
        <v>30</v>
      </c>
      <c r="D82" s="2" t="s">
        <v>41</v>
      </c>
      <c r="E82" s="2" t="s">
        <v>24</v>
      </c>
      <c r="F82" s="2">
        <v>1</v>
      </c>
      <c r="G82" s="2" t="s">
        <v>25</v>
      </c>
      <c r="H82" t="str" cm="1">
        <f t="array" ref="H82:J82">_xlfn.XLOOKUP(C82,Products!A:A,Products!B:D)</f>
        <v>Wireless Headphones</v>
      </c>
      <c r="I82" t="str">
        <v>Accessories</v>
      </c>
      <c r="J82">
        <v>149.99</v>
      </c>
      <c r="K82">
        <f t="shared" si="2"/>
        <v>0</v>
      </c>
      <c r="Q82" s="8"/>
    </row>
    <row r="83" spans="1:17" ht="14.25" customHeight="1" x14ac:dyDescent="0.3">
      <c r="A83" s="2" t="s">
        <v>131</v>
      </c>
      <c r="B83" s="2" t="s">
        <v>27</v>
      </c>
      <c r="C83" s="2" t="s">
        <v>38</v>
      </c>
      <c r="D83" s="2" t="s">
        <v>19</v>
      </c>
      <c r="E83" s="2" t="s">
        <v>52</v>
      </c>
      <c r="F83" s="2">
        <v>3</v>
      </c>
      <c r="G83" s="2" t="s">
        <v>21</v>
      </c>
      <c r="H83" t="str" cm="1">
        <f t="array" ref="H83:J83">_xlfn.XLOOKUP(C83,Products!A:A,Products!B:D)</f>
        <v>Gaming Mouse</v>
      </c>
      <c r="I83" t="str">
        <v>Accessories</v>
      </c>
      <c r="J83">
        <v>49.99</v>
      </c>
      <c r="K83">
        <f t="shared" si="2"/>
        <v>149.97</v>
      </c>
      <c r="Q83" s="8"/>
    </row>
    <row r="84" spans="1:17" ht="14.25" customHeight="1" x14ac:dyDescent="0.3">
      <c r="A84" s="2" t="s">
        <v>132</v>
      </c>
      <c r="B84" s="2" t="s">
        <v>56</v>
      </c>
      <c r="C84" s="2" t="s">
        <v>38</v>
      </c>
      <c r="D84" s="2" t="s">
        <v>60</v>
      </c>
      <c r="E84" s="2" t="s">
        <v>24</v>
      </c>
      <c r="F84" s="2">
        <v>3</v>
      </c>
      <c r="G84" s="2" t="s">
        <v>21</v>
      </c>
      <c r="H84" t="str" cm="1">
        <f t="array" ref="H84:J84">_xlfn.XLOOKUP(C84,Products!A:A,Products!B:D)</f>
        <v>Gaming Mouse</v>
      </c>
      <c r="I84" t="str">
        <v>Accessories</v>
      </c>
      <c r="J84">
        <v>49.99</v>
      </c>
      <c r="K84">
        <f t="shared" si="2"/>
        <v>149.97</v>
      </c>
      <c r="Q84" s="8"/>
    </row>
    <row r="85" spans="1:17" ht="14.25" customHeight="1" x14ac:dyDescent="0.3">
      <c r="A85" s="2" t="s">
        <v>133</v>
      </c>
      <c r="B85" s="2" t="s">
        <v>34</v>
      </c>
      <c r="C85" s="2" t="s">
        <v>43</v>
      </c>
      <c r="D85" s="2" t="s">
        <v>41</v>
      </c>
      <c r="E85" s="2" t="s">
        <v>24</v>
      </c>
      <c r="F85" s="2">
        <v>1</v>
      </c>
      <c r="G85" s="2" t="s">
        <v>25</v>
      </c>
      <c r="H85" t="str" cm="1">
        <f t="array" ref="H85:J85">_xlfn.XLOOKUP(C85,Products!A:A,Products!B:D)</f>
        <v>Bluetooth Speaker</v>
      </c>
      <c r="I85" t="str">
        <v>Accessories</v>
      </c>
      <c r="J85">
        <v>79.989999999999995</v>
      </c>
      <c r="K85">
        <f t="shared" si="2"/>
        <v>0</v>
      </c>
      <c r="Q85" s="8"/>
    </row>
    <row r="86" spans="1:17" ht="14.25" customHeight="1" x14ac:dyDescent="0.3">
      <c r="A86" s="2" t="s">
        <v>134</v>
      </c>
      <c r="B86" s="2" t="s">
        <v>54</v>
      </c>
      <c r="C86" s="2" t="s">
        <v>43</v>
      </c>
      <c r="D86" s="2" t="s">
        <v>60</v>
      </c>
      <c r="E86" s="2" t="s">
        <v>52</v>
      </c>
      <c r="F86" s="2">
        <v>5</v>
      </c>
      <c r="G86" s="2" t="s">
        <v>21</v>
      </c>
      <c r="H86" t="str" cm="1">
        <f t="array" ref="H86:J86">_xlfn.XLOOKUP(C86,Products!A:A,Products!B:D)</f>
        <v>Bluetooth Speaker</v>
      </c>
      <c r="I86" t="str">
        <v>Accessories</v>
      </c>
      <c r="J86">
        <v>79.989999999999995</v>
      </c>
      <c r="K86">
        <f t="shared" si="2"/>
        <v>399.95</v>
      </c>
      <c r="Q86" s="8"/>
    </row>
    <row r="87" spans="1:17" ht="14.25" customHeight="1" x14ac:dyDescent="0.3">
      <c r="A87" s="2" t="s">
        <v>135</v>
      </c>
      <c r="B87" s="2" t="s">
        <v>17</v>
      </c>
      <c r="C87" s="2" t="s">
        <v>18</v>
      </c>
      <c r="D87" s="2" t="s">
        <v>60</v>
      </c>
      <c r="E87" s="2" t="s">
        <v>20</v>
      </c>
      <c r="F87" s="2">
        <v>3</v>
      </c>
      <c r="G87" s="2" t="s">
        <v>21</v>
      </c>
      <c r="H87" t="str" cm="1">
        <f t="array" ref="H87:J87">_xlfn.XLOOKUP(C87,Products!A:A,Products!B:D)</f>
        <v>Tablet Air</v>
      </c>
      <c r="I87" t="str">
        <v>Electronics</v>
      </c>
      <c r="J87">
        <v>499.99</v>
      </c>
      <c r="K87">
        <f t="shared" si="2"/>
        <v>1499.97</v>
      </c>
      <c r="Q87" s="8"/>
    </row>
    <row r="88" spans="1:17" ht="14.25" customHeight="1" x14ac:dyDescent="0.3">
      <c r="A88" s="2" t="s">
        <v>136</v>
      </c>
      <c r="B88" s="2" t="s">
        <v>56</v>
      </c>
      <c r="C88" s="2" t="s">
        <v>23</v>
      </c>
      <c r="D88" s="2" t="s">
        <v>19</v>
      </c>
      <c r="E88" s="2" t="s">
        <v>52</v>
      </c>
      <c r="F88" s="2">
        <v>5</v>
      </c>
      <c r="G88" s="2" t="s">
        <v>21</v>
      </c>
      <c r="H88" t="str" cm="1">
        <f t="array" ref="H88:J88">_xlfn.XLOOKUP(C88,Products!A:A,Products!B:D)</f>
        <v>4K Monitor</v>
      </c>
      <c r="I88" t="str">
        <v>Electronics</v>
      </c>
      <c r="J88">
        <v>349.99</v>
      </c>
      <c r="K88">
        <f t="shared" si="2"/>
        <v>1749.95</v>
      </c>
      <c r="Q88" s="8"/>
    </row>
    <row r="89" spans="1:17" ht="14.25" customHeight="1" x14ac:dyDescent="0.3">
      <c r="A89" s="2" t="s">
        <v>137</v>
      </c>
      <c r="B89" s="2" t="s">
        <v>27</v>
      </c>
      <c r="C89" s="2" t="s">
        <v>7</v>
      </c>
      <c r="D89" s="2" t="s">
        <v>37</v>
      </c>
      <c r="E89" s="2" t="s">
        <v>52</v>
      </c>
      <c r="F89" s="2">
        <v>2</v>
      </c>
      <c r="G89" s="2" t="s">
        <v>21</v>
      </c>
      <c r="H89" t="str" cm="1">
        <f t="array" ref="H89:J89">_xlfn.XLOOKUP(C89,Products!A:A,Products!B:D)</f>
        <v>Smartphone X</v>
      </c>
      <c r="I89" t="str">
        <v>Electronics</v>
      </c>
      <c r="J89">
        <v>999.99</v>
      </c>
      <c r="K89">
        <f t="shared" si="2"/>
        <v>1999.98</v>
      </c>
      <c r="Q89" s="8"/>
    </row>
    <row r="90" spans="1:17" ht="14.25" customHeight="1" x14ac:dyDescent="0.3">
      <c r="A90" s="2" t="s">
        <v>138</v>
      </c>
      <c r="B90" s="2" t="s">
        <v>34</v>
      </c>
      <c r="C90" s="2" t="s">
        <v>46</v>
      </c>
      <c r="D90" s="2" t="s">
        <v>29</v>
      </c>
      <c r="E90" s="2" t="s">
        <v>47</v>
      </c>
      <c r="F90" s="2">
        <v>4</v>
      </c>
      <c r="G90" s="2" t="s">
        <v>61</v>
      </c>
      <c r="H90" t="str" cm="1">
        <f t="array" ref="H90:J90">_xlfn.XLOOKUP(C90,Products!A:A,Products!B:D)</f>
        <v>Ergonomic Chair</v>
      </c>
      <c r="I90" t="str">
        <v>Furniture</v>
      </c>
      <c r="J90">
        <v>249.99</v>
      </c>
      <c r="K90">
        <f t="shared" si="2"/>
        <v>999.96</v>
      </c>
      <c r="Q90" s="8"/>
    </row>
    <row r="91" spans="1:17" ht="14.25" customHeight="1" x14ac:dyDescent="0.3">
      <c r="A91" s="2" t="s">
        <v>139</v>
      </c>
      <c r="B91" s="2" t="s">
        <v>17</v>
      </c>
      <c r="C91" s="2" t="s">
        <v>35</v>
      </c>
      <c r="D91" s="2" t="s">
        <v>29</v>
      </c>
      <c r="E91" s="2" t="s">
        <v>20</v>
      </c>
      <c r="F91" s="2">
        <v>4</v>
      </c>
      <c r="G91" s="2" t="s">
        <v>21</v>
      </c>
      <c r="H91" t="str" cm="1">
        <f t="array" ref="H91:J91">_xlfn.XLOOKUP(C91,Products!A:A,Products!B:D)</f>
        <v>Mechanical Keyboard</v>
      </c>
      <c r="I91" t="str">
        <v>Accessories</v>
      </c>
      <c r="J91">
        <v>89.99</v>
      </c>
      <c r="K91">
        <f t="shared" si="2"/>
        <v>359.96</v>
      </c>
      <c r="Q91" s="8"/>
    </row>
    <row r="92" spans="1:17" ht="14.25" customHeight="1" x14ac:dyDescent="0.3">
      <c r="A92" s="2" t="s">
        <v>140</v>
      </c>
      <c r="B92" s="2" t="s">
        <v>27</v>
      </c>
      <c r="C92" s="2" t="s">
        <v>46</v>
      </c>
      <c r="D92" s="2" t="s">
        <v>29</v>
      </c>
      <c r="E92" s="2" t="s">
        <v>20</v>
      </c>
      <c r="F92" s="2">
        <v>3</v>
      </c>
      <c r="G92" s="2" t="s">
        <v>21</v>
      </c>
      <c r="H92" t="str" cm="1">
        <f t="array" ref="H92:J92">_xlfn.XLOOKUP(C92,Products!A:A,Products!B:D)</f>
        <v>Ergonomic Chair</v>
      </c>
      <c r="I92" t="str">
        <v>Furniture</v>
      </c>
      <c r="J92">
        <v>249.99</v>
      </c>
      <c r="K92">
        <f t="shared" si="2"/>
        <v>749.97</v>
      </c>
      <c r="Q92" s="8"/>
    </row>
    <row r="93" spans="1:17" ht="14.25" customHeight="1" x14ac:dyDescent="0.3">
      <c r="A93" s="2" t="s">
        <v>141</v>
      </c>
      <c r="B93" s="2" t="s">
        <v>54</v>
      </c>
      <c r="C93" s="2" t="s">
        <v>18</v>
      </c>
      <c r="D93" s="2" t="s">
        <v>37</v>
      </c>
      <c r="E93" s="2" t="s">
        <v>52</v>
      </c>
      <c r="F93" s="2">
        <v>3</v>
      </c>
      <c r="G93" s="2" t="s">
        <v>21</v>
      </c>
      <c r="H93" t="str" cm="1">
        <f t="array" ref="H93:J93">_xlfn.XLOOKUP(C93,Products!A:A,Products!B:D)</f>
        <v>Tablet Air</v>
      </c>
      <c r="I93" t="str">
        <v>Electronics</v>
      </c>
      <c r="J93">
        <v>499.99</v>
      </c>
      <c r="K93">
        <f t="shared" si="2"/>
        <v>1499.97</v>
      </c>
      <c r="Q93" s="8"/>
    </row>
    <row r="94" spans="1:17" ht="14.25" customHeight="1" x14ac:dyDescent="0.3">
      <c r="A94" s="2" t="s">
        <v>142</v>
      </c>
      <c r="B94" s="2" t="s">
        <v>58</v>
      </c>
      <c r="C94" s="2" t="s">
        <v>46</v>
      </c>
      <c r="D94" s="2" t="s">
        <v>41</v>
      </c>
      <c r="E94" s="2" t="s">
        <v>24</v>
      </c>
      <c r="F94" s="2">
        <v>3</v>
      </c>
      <c r="G94" s="2" t="s">
        <v>21</v>
      </c>
      <c r="H94" t="str" cm="1">
        <f t="array" ref="H94:J94">_xlfn.XLOOKUP(C94,Products!A:A,Products!B:D)</f>
        <v>Ergonomic Chair</v>
      </c>
      <c r="I94" t="str">
        <v>Furniture</v>
      </c>
      <c r="J94">
        <v>249.99</v>
      </c>
      <c r="K94">
        <f t="shared" si="2"/>
        <v>749.97</v>
      </c>
      <c r="Q94" s="8"/>
    </row>
    <row r="95" spans="1:17" ht="14.25" customHeight="1" x14ac:dyDescent="0.3">
      <c r="A95" s="2" t="s">
        <v>143</v>
      </c>
      <c r="B95" s="2" t="s">
        <v>27</v>
      </c>
      <c r="C95" s="2" t="s">
        <v>38</v>
      </c>
      <c r="D95" s="2" t="s">
        <v>41</v>
      </c>
      <c r="E95" s="2" t="s">
        <v>52</v>
      </c>
      <c r="F95" s="2">
        <v>2</v>
      </c>
      <c r="G95" s="2" t="s">
        <v>25</v>
      </c>
      <c r="H95" t="str" cm="1">
        <f t="array" ref="H95:J95">_xlfn.XLOOKUP(C95,Products!A:A,Products!B:D)</f>
        <v>Gaming Mouse</v>
      </c>
      <c r="I95" t="str">
        <v>Accessories</v>
      </c>
      <c r="J95">
        <v>49.99</v>
      </c>
      <c r="K95">
        <f t="shared" si="2"/>
        <v>0</v>
      </c>
      <c r="Q95" s="8"/>
    </row>
    <row r="96" spans="1:17" ht="14.25" customHeight="1" x14ac:dyDescent="0.3">
      <c r="A96" s="2" t="s">
        <v>144</v>
      </c>
      <c r="B96" s="2" t="s">
        <v>17</v>
      </c>
      <c r="C96" s="2" t="s">
        <v>35</v>
      </c>
      <c r="D96" s="2" t="s">
        <v>19</v>
      </c>
      <c r="E96" s="2" t="s">
        <v>52</v>
      </c>
      <c r="F96" s="2">
        <v>5</v>
      </c>
      <c r="G96" s="2" t="s">
        <v>61</v>
      </c>
      <c r="H96" t="str" cm="1">
        <f t="array" ref="H96:J96">_xlfn.XLOOKUP(C96,Products!A:A,Products!B:D)</f>
        <v>Mechanical Keyboard</v>
      </c>
      <c r="I96" t="str">
        <v>Accessories</v>
      </c>
      <c r="J96">
        <v>89.99</v>
      </c>
      <c r="K96">
        <f t="shared" si="2"/>
        <v>449.95</v>
      </c>
      <c r="Q96" s="8"/>
    </row>
    <row r="97" spans="1:17" ht="14.25" customHeight="1" x14ac:dyDescent="0.3">
      <c r="A97" s="2" t="s">
        <v>145</v>
      </c>
      <c r="B97" s="2" t="s">
        <v>56</v>
      </c>
      <c r="C97" s="2" t="s">
        <v>7</v>
      </c>
      <c r="D97" s="2" t="s">
        <v>41</v>
      </c>
      <c r="E97" s="2" t="s">
        <v>20</v>
      </c>
      <c r="F97" s="2">
        <v>3</v>
      </c>
      <c r="G97" s="2" t="s">
        <v>21</v>
      </c>
      <c r="H97" t="str" cm="1">
        <f t="array" ref="H97:J97">_xlfn.XLOOKUP(C97,Products!A:A,Products!B:D)</f>
        <v>Smartphone X</v>
      </c>
      <c r="I97" t="str">
        <v>Electronics</v>
      </c>
      <c r="J97">
        <v>999.99</v>
      </c>
      <c r="K97">
        <f t="shared" si="2"/>
        <v>2999.9700000000003</v>
      </c>
      <c r="Q97" s="8"/>
    </row>
    <row r="98" spans="1:17" ht="14.25" customHeight="1" x14ac:dyDescent="0.3">
      <c r="A98" s="2" t="s">
        <v>146</v>
      </c>
      <c r="B98" s="2" t="s">
        <v>34</v>
      </c>
      <c r="C98" s="2" t="s">
        <v>30</v>
      </c>
      <c r="D98" s="2" t="s">
        <v>29</v>
      </c>
      <c r="E98" s="2" t="s">
        <v>47</v>
      </c>
      <c r="F98" s="2">
        <v>1</v>
      </c>
      <c r="G98" s="2" t="s">
        <v>25</v>
      </c>
      <c r="H98" t="str" cm="1">
        <f t="array" ref="H98:J98">_xlfn.XLOOKUP(C98,Products!A:A,Products!B:D)</f>
        <v>Wireless Headphones</v>
      </c>
      <c r="I98" t="str">
        <v>Accessories</v>
      </c>
      <c r="J98">
        <v>149.99</v>
      </c>
      <c r="K98">
        <f t="shared" si="2"/>
        <v>0</v>
      </c>
      <c r="Q98" s="8"/>
    </row>
    <row r="99" spans="1:17" ht="14.25" customHeight="1" x14ac:dyDescent="0.3">
      <c r="A99" s="2" t="s">
        <v>147</v>
      </c>
      <c r="B99" s="2" t="s">
        <v>17</v>
      </c>
      <c r="C99" s="2" t="s">
        <v>46</v>
      </c>
      <c r="D99" s="2" t="s">
        <v>41</v>
      </c>
      <c r="E99" s="2" t="s">
        <v>24</v>
      </c>
      <c r="F99" s="2">
        <v>5</v>
      </c>
      <c r="G99" s="2" t="s">
        <v>21</v>
      </c>
      <c r="H99" t="str" cm="1">
        <f t="array" ref="H99:J99">_xlfn.XLOOKUP(C99,Products!A:A,Products!B:D)</f>
        <v>Ergonomic Chair</v>
      </c>
      <c r="I99" t="str">
        <v>Furniture</v>
      </c>
      <c r="J99">
        <v>249.99</v>
      </c>
      <c r="K99">
        <f t="shared" si="2"/>
        <v>1249.95</v>
      </c>
      <c r="Q99" s="8"/>
    </row>
    <row r="100" spans="1:17" ht="14.25" customHeight="1" x14ac:dyDescent="0.3">
      <c r="A100" s="2" t="s">
        <v>148</v>
      </c>
      <c r="B100" s="2" t="s">
        <v>27</v>
      </c>
      <c r="C100" s="2" t="s">
        <v>18</v>
      </c>
      <c r="D100" s="2" t="s">
        <v>19</v>
      </c>
      <c r="E100" s="2" t="s">
        <v>47</v>
      </c>
      <c r="F100" s="2">
        <v>2</v>
      </c>
      <c r="G100" s="2" t="s">
        <v>21</v>
      </c>
      <c r="H100" t="str" cm="1">
        <f t="array" ref="H100:J100">_xlfn.XLOOKUP(C100,Products!A:A,Products!B:D)</f>
        <v>Tablet Air</v>
      </c>
      <c r="I100" t="str">
        <v>Electronics</v>
      </c>
      <c r="J100">
        <v>499.99</v>
      </c>
      <c r="K100">
        <f t="shared" si="2"/>
        <v>999.98</v>
      </c>
      <c r="Q100" s="8"/>
    </row>
    <row r="101" spans="1:17" ht="14.25" customHeight="1" x14ac:dyDescent="0.3">
      <c r="A101" s="2" t="s">
        <v>149</v>
      </c>
      <c r="B101" s="2" t="s">
        <v>56</v>
      </c>
      <c r="C101" s="2" t="s">
        <v>23</v>
      </c>
      <c r="D101" s="2" t="s">
        <v>19</v>
      </c>
      <c r="E101" s="2" t="s">
        <v>24</v>
      </c>
      <c r="F101" s="2">
        <v>4</v>
      </c>
      <c r="G101" s="2" t="s">
        <v>21</v>
      </c>
      <c r="H101" t="str" cm="1">
        <f t="array" ref="H101:J101">_xlfn.XLOOKUP(C101,Products!A:A,Products!B:D)</f>
        <v>4K Monitor</v>
      </c>
      <c r="I101" t="str">
        <v>Electronics</v>
      </c>
      <c r="J101">
        <v>349.99</v>
      </c>
      <c r="K101">
        <f t="shared" si="2"/>
        <v>1399.96</v>
      </c>
      <c r="Q101" s="8"/>
    </row>
    <row r="102" spans="1:17" ht="14.25" customHeight="1" x14ac:dyDescent="0.3">
      <c r="A102" s="2" t="s">
        <v>150</v>
      </c>
      <c r="B102" s="2" t="s">
        <v>58</v>
      </c>
      <c r="C102" s="2" t="s">
        <v>30</v>
      </c>
      <c r="D102" s="2" t="s">
        <v>19</v>
      </c>
      <c r="E102" s="2" t="s">
        <v>52</v>
      </c>
      <c r="F102" s="2">
        <v>4</v>
      </c>
      <c r="G102" s="2" t="s">
        <v>25</v>
      </c>
      <c r="H102" t="str" cm="1">
        <f t="array" ref="H102:J102">_xlfn.XLOOKUP(C102,Products!A:A,Products!B:D)</f>
        <v>Wireless Headphones</v>
      </c>
      <c r="I102" t="str">
        <v>Accessories</v>
      </c>
      <c r="J102">
        <v>149.99</v>
      </c>
      <c r="K102">
        <f t="shared" si="2"/>
        <v>0</v>
      </c>
      <c r="Q102" s="8"/>
    </row>
    <row r="103" spans="1:17" ht="14.25" customHeight="1" x14ac:dyDescent="0.3">
      <c r="A103" s="2" t="s">
        <v>151</v>
      </c>
      <c r="B103" s="2" t="s">
        <v>17</v>
      </c>
      <c r="C103" s="2" t="s">
        <v>23</v>
      </c>
      <c r="D103" s="2" t="s">
        <v>41</v>
      </c>
      <c r="E103" s="2" t="s">
        <v>47</v>
      </c>
      <c r="F103" s="2">
        <v>4</v>
      </c>
      <c r="G103" s="2" t="s">
        <v>21</v>
      </c>
      <c r="H103" t="str" cm="1">
        <f t="array" ref="H103:J103">_xlfn.XLOOKUP(C103,Products!A:A,Products!B:D)</f>
        <v>4K Monitor</v>
      </c>
      <c r="I103" t="str">
        <v>Electronics</v>
      </c>
      <c r="J103">
        <v>349.99</v>
      </c>
      <c r="K103">
        <f t="shared" si="2"/>
        <v>1399.96</v>
      </c>
      <c r="Q103" s="8"/>
    </row>
    <row r="104" spans="1:17" ht="14.25" customHeight="1" x14ac:dyDescent="0.3">
      <c r="A104" s="2" t="s">
        <v>152</v>
      </c>
      <c r="B104" s="2" t="s">
        <v>54</v>
      </c>
      <c r="C104" s="2" t="s">
        <v>7</v>
      </c>
      <c r="D104" s="2" t="s">
        <v>60</v>
      </c>
      <c r="E104" s="2" t="s">
        <v>47</v>
      </c>
      <c r="F104" s="2">
        <v>4</v>
      </c>
      <c r="G104" s="2" t="s">
        <v>21</v>
      </c>
      <c r="H104" t="str" cm="1">
        <f t="array" ref="H104:J104">_xlfn.XLOOKUP(C104,Products!A:A,Products!B:D)</f>
        <v>Smartphone X</v>
      </c>
      <c r="I104" t="str">
        <v>Electronics</v>
      </c>
      <c r="J104">
        <v>999.99</v>
      </c>
      <c r="K104">
        <f t="shared" si="2"/>
        <v>3999.96</v>
      </c>
      <c r="Q104" s="8"/>
    </row>
    <row r="105" spans="1:17" ht="14.25" customHeight="1" x14ac:dyDescent="0.3">
      <c r="A105" s="2" t="s">
        <v>153</v>
      </c>
      <c r="B105" s="2" t="s">
        <v>27</v>
      </c>
      <c r="C105" s="2" t="s">
        <v>18</v>
      </c>
      <c r="D105" s="2" t="s">
        <v>41</v>
      </c>
      <c r="E105" s="2" t="s">
        <v>47</v>
      </c>
      <c r="F105" s="2">
        <v>2</v>
      </c>
      <c r="G105" s="2" t="s">
        <v>21</v>
      </c>
      <c r="H105" t="str" cm="1">
        <f t="array" ref="H105:J105">_xlfn.XLOOKUP(C105,Products!A:A,Products!B:D)</f>
        <v>Tablet Air</v>
      </c>
      <c r="I105" t="str">
        <v>Electronics</v>
      </c>
      <c r="J105">
        <v>499.99</v>
      </c>
      <c r="K105">
        <f t="shared" si="2"/>
        <v>999.98</v>
      </c>
      <c r="Q105" s="8"/>
    </row>
    <row r="106" spans="1:17" ht="14.25" customHeight="1" x14ac:dyDescent="0.3">
      <c r="A106" s="2" t="s">
        <v>154</v>
      </c>
      <c r="B106" s="2" t="s">
        <v>58</v>
      </c>
      <c r="C106" s="2" t="s">
        <v>7</v>
      </c>
      <c r="D106" s="2" t="s">
        <v>60</v>
      </c>
      <c r="E106" s="2" t="s">
        <v>24</v>
      </c>
      <c r="F106" s="2">
        <v>4</v>
      </c>
      <c r="G106" s="2" t="s">
        <v>21</v>
      </c>
      <c r="H106" t="str" cm="1">
        <f t="array" ref="H106:J106">_xlfn.XLOOKUP(C106,Products!A:A,Products!B:D)</f>
        <v>Smartphone X</v>
      </c>
      <c r="I106" t="str">
        <v>Electronics</v>
      </c>
      <c r="J106">
        <v>999.99</v>
      </c>
      <c r="K106">
        <f t="shared" si="2"/>
        <v>3999.96</v>
      </c>
      <c r="Q106" s="8"/>
    </row>
    <row r="107" spans="1:17" ht="14.25" customHeight="1" x14ac:dyDescent="0.3">
      <c r="A107" s="2" t="s">
        <v>155</v>
      </c>
      <c r="B107" s="2" t="s">
        <v>58</v>
      </c>
      <c r="C107" s="2" t="s">
        <v>35</v>
      </c>
      <c r="D107" s="2" t="s">
        <v>41</v>
      </c>
      <c r="E107" s="2" t="s">
        <v>20</v>
      </c>
      <c r="F107" s="2">
        <v>5</v>
      </c>
      <c r="G107" s="2" t="s">
        <v>61</v>
      </c>
      <c r="H107" t="str" cm="1">
        <f t="array" ref="H107:J107">_xlfn.XLOOKUP(C107,Products!A:A,Products!B:D)</f>
        <v>Mechanical Keyboard</v>
      </c>
      <c r="I107" t="str">
        <v>Accessories</v>
      </c>
      <c r="J107">
        <v>89.99</v>
      </c>
      <c r="K107">
        <f t="shared" si="2"/>
        <v>449.95</v>
      </c>
      <c r="Q107" s="8"/>
    </row>
    <row r="108" spans="1:17" ht="14.25" customHeight="1" x14ac:dyDescent="0.3">
      <c r="A108" s="2" t="s">
        <v>156</v>
      </c>
      <c r="B108" s="2" t="s">
        <v>34</v>
      </c>
      <c r="C108" s="2" t="s">
        <v>7</v>
      </c>
      <c r="D108" s="2" t="s">
        <v>29</v>
      </c>
      <c r="E108" s="2" t="s">
        <v>24</v>
      </c>
      <c r="F108" s="2">
        <v>2</v>
      </c>
      <c r="G108" s="2" t="s">
        <v>21</v>
      </c>
      <c r="H108" t="str" cm="1">
        <f t="array" ref="H108:J108">_xlfn.XLOOKUP(C108,Products!A:A,Products!B:D)</f>
        <v>Smartphone X</v>
      </c>
      <c r="I108" t="str">
        <v>Electronics</v>
      </c>
      <c r="J108">
        <v>999.99</v>
      </c>
      <c r="K108">
        <f t="shared" si="2"/>
        <v>1999.98</v>
      </c>
      <c r="Q108" s="8"/>
    </row>
    <row r="109" spans="1:17" ht="14.25" customHeight="1" x14ac:dyDescent="0.3">
      <c r="A109" s="2" t="s">
        <v>157</v>
      </c>
      <c r="B109" s="2" t="s">
        <v>58</v>
      </c>
      <c r="C109" s="2" t="s">
        <v>46</v>
      </c>
      <c r="D109" s="2" t="s">
        <v>60</v>
      </c>
      <c r="E109" s="2" t="s">
        <v>24</v>
      </c>
      <c r="F109" s="2">
        <v>5</v>
      </c>
      <c r="G109" s="2" t="s">
        <v>61</v>
      </c>
      <c r="H109" t="str" cm="1">
        <f t="array" ref="H109:J109">_xlfn.XLOOKUP(C109,Products!A:A,Products!B:D)</f>
        <v>Ergonomic Chair</v>
      </c>
      <c r="I109" t="str">
        <v>Furniture</v>
      </c>
      <c r="J109">
        <v>249.99</v>
      </c>
      <c r="K109">
        <f t="shared" si="2"/>
        <v>1249.95</v>
      </c>
      <c r="Q109" s="8"/>
    </row>
    <row r="110" spans="1:17" ht="14.25" customHeight="1" x14ac:dyDescent="0.3">
      <c r="A110" s="2" t="s">
        <v>158</v>
      </c>
      <c r="B110" s="2" t="s">
        <v>27</v>
      </c>
      <c r="C110" s="2" t="s">
        <v>35</v>
      </c>
      <c r="D110" s="2" t="s">
        <v>60</v>
      </c>
      <c r="E110" s="2" t="s">
        <v>20</v>
      </c>
      <c r="F110" s="2">
        <v>3</v>
      </c>
      <c r="G110" s="2" t="s">
        <v>21</v>
      </c>
      <c r="H110" t="str" cm="1">
        <f t="array" ref="H110:J110">_xlfn.XLOOKUP(C110,Products!A:A,Products!B:D)</f>
        <v>Mechanical Keyboard</v>
      </c>
      <c r="I110" t="str">
        <v>Accessories</v>
      </c>
      <c r="J110">
        <v>89.99</v>
      </c>
      <c r="K110">
        <f t="shared" si="2"/>
        <v>269.96999999999997</v>
      </c>
      <c r="Q110" s="8"/>
    </row>
    <row r="111" spans="1:17" ht="14.25" customHeight="1" x14ac:dyDescent="0.3">
      <c r="A111" s="2" t="s">
        <v>159</v>
      </c>
      <c r="B111" s="2" t="s">
        <v>34</v>
      </c>
      <c r="C111" s="2" t="s">
        <v>46</v>
      </c>
      <c r="D111" s="2" t="s">
        <v>60</v>
      </c>
      <c r="E111" s="2" t="s">
        <v>52</v>
      </c>
      <c r="F111" s="2">
        <v>4</v>
      </c>
      <c r="G111" s="2" t="s">
        <v>61</v>
      </c>
      <c r="H111" t="str" cm="1">
        <f t="array" ref="H111:J111">_xlfn.XLOOKUP(C111,Products!A:A,Products!B:D)</f>
        <v>Ergonomic Chair</v>
      </c>
      <c r="I111" t="str">
        <v>Furniture</v>
      </c>
      <c r="J111">
        <v>249.99</v>
      </c>
      <c r="K111">
        <f t="shared" si="2"/>
        <v>999.96</v>
      </c>
      <c r="Q111" s="8"/>
    </row>
    <row r="112" spans="1:17" ht="14.25" customHeight="1" x14ac:dyDescent="0.3">
      <c r="A112" s="2" t="s">
        <v>160</v>
      </c>
      <c r="B112" s="2" t="s">
        <v>17</v>
      </c>
      <c r="C112" s="2" t="s">
        <v>46</v>
      </c>
      <c r="D112" s="2" t="s">
        <v>29</v>
      </c>
      <c r="E112" s="2" t="s">
        <v>24</v>
      </c>
      <c r="F112" s="2">
        <v>2</v>
      </c>
      <c r="G112" s="2" t="s">
        <v>25</v>
      </c>
      <c r="H112" t="str" cm="1">
        <f t="array" ref="H112:J112">_xlfn.XLOOKUP(C112,Products!A:A,Products!B:D)</f>
        <v>Ergonomic Chair</v>
      </c>
      <c r="I112" t="str">
        <v>Furniture</v>
      </c>
      <c r="J112">
        <v>249.99</v>
      </c>
      <c r="K112">
        <f t="shared" si="2"/>
        <v>0</v>
      </c>
      <c r="Q112" s="8"/>
    </row>
    <row r="113" spans="1:17" ht="14.25" customHeight="1" x14ac:dyDescent="0.3">
      <c r="A113" s="2" t="s">
        <v>161</v>
      </c>
      <c r="B113" s="2" t="s">
        <v>54</v>
      </c>
      <c r="C113" s="2" t="s">
        <v>7</v>
      </c>
      <c r="D113" s="2" t="s">
        <v>29</v>
      </c>
      <c r="E113" s="2" t="s">
        <v>20</v>
      </c>
      <c r="F113" s="2">
        <v>1</v>
      </c>
      <c r="G113" s="2" t="s">
        <v>61</v>
      </c>
      <c r="H113" t="str" cm="1">
        <f t="array" ref="H113:J113">_xlfn.XLOOKUP(C113,Products!A:A,Products!B:D)</f>
        <v>Smartphone X</v>
      </c>
      <c r="I113" t="str">
        <v>Electronics</v>
      </c>
      <c r="J113">
        <v>999.99</v>
      </c>
      <c r="K113">
        <f t="shared" si="2"/>
        <v>999.99</v>
      </c>
      <c r="Q113" s="8"/>
    </row>
    <row r="114" spans="1:17" ht="14.25" customHeight="1" x14ac:dyDescent="0.3">
      <c r="A114" s="2" t="s">
        <v>162</v>
      </c>
      <c r="B114" s="2" t="s">
        <v>54</v>
      </c>
      <c r="C114" s="2" t="s">
        <v>35</v>
      </c>
      <c r="D114" s="2" t="s">
        <v>41</v>
      </c>
      <c r="E114" s="2" t="s">
        <v>52</v>
      </c>
      <c r="F114" s="2">
        <v>5</v>
      </c>
      <c r="G114" s="2" t="s">
        <v>21</v>
      </c>
      <c r="H114" t="str" cm="1">
        <f t="array" ref="H114:J114">_xlfn.XLOOKUP(C114,Products!A:A,Products!B:D)</f>
        <v>Mechanical Keyboard</v>
      </c>
      <c r="I114" t="str">
        <v>Accessories</v>
      </c>
      <c r="J114">
        <v>89.99</v>
      </c>
      <c r="K114">
        <f t="shared" si="2"/>
        <v>449.95</v>
      </c>
      <c r="Q114" s="8"/>
    </row>
    <row r="115" spans="1:17" ht="14.25" customHeight="1" x14ac:dyDescent="0.3">
      <c r="A115" s="2" t="s">
        <v>163</v>
      </c>
      <c r="B115" s="2" t="s">
        <v>54</v>
      </c>
      <c r="C115" s="2" t="s">
        <v>7</v>
      </c>
      <c r="D115" s="2" t="s">
        <v>19</v>
      </c>
      <c r="E115" s="2" t="s">
        <v>52</v>
      </c>
      <c r="F115" s="2">
        <v>1</v>
      </c>
      <c r="G115" s="2" t="s">
        <v>25</v>
      </c>
      <c r="H115" t="str" cm="1">
        <f t="array" ref="H115:J115">_xlfn.XLOOKUP(C115,Products!A:A,Products!B:D)</f>
        <v>Smartphone X</v>
      </c>
      <c r="I115" t="str">
        <v>Electronics</v>
      </c>
      <c r="J115">
        <v>999.99</v>
      </c>
      <c r="K115">
        <f t="shared" si="2"/>
        <v>0</v>
      </c>
      <c r="Q115" s="8"/>
    </row>
    <row r="116" spans="1:17" ht="14.25" customHeight="1" x14ac:dyDescent="0.3">
      <c r="A116" s="2" t="s">
        <v>164</v>
      </c>
      <c r="B116" s="2" t="s">
        <v>27</v>
      </c>
      <c r="C116" s="2" t="s">
        <v>35</v>
      </c>
      <c r="D116" s="2" t="s">
        <v>60</v>
      </c>
      <c r="E116" s="2" t="s">
        <v>47</v>
      </c>
      <c r="F116" s="2">
        <v>2</v>
      </c>
      <c r="G116" s="2" t="s">
        <v>25</v>
      </c>
      <c r="H116" t="str" cm="1">
        <f t="array" ref="H116:J116">_xlfn.XLOOKUP(C116,Products!A:A,Products!B:D)</f>
        <v>Mechanical Keyboard</v>
      </c>
      <c r="I116" t="str">
        <v>Accessories</v>
      </c>
      <c r="J116">
        <v>89.99</v>
      </c>
      <c r="K116">
        <f t="shared" si="2"/>
        <v>0</v>
      </c>
      <c r="Q116" s="8"/>
    </row>
    <row r="117" spans="1:17" ht="14.25" customHeight="1" x14ac:dyDescent="0.3">
      <c r="A117" s="2" t="s">
        <v>165</v>
      </c>
      <c r="B117" s="2" t="s">
        <v>56</v>
      </c>
      <c r="C117" s="2" t="s">
        <v>30</v>
      </c>
      <c r="D117" s="2" t="s">
        <v>60</v>
      </c>
      <c r="E117" s="2" t="s">
        <v>47</v>
      </c>
      <c r="F117" s="2">
        <v>5</v>
      </c>
      <c r="G117" s="2" t="s">
        <v>21</v>
      </c>
      <c r="H117" t="str" cm="1">
        <f t="array" ref="H117:J117">_xlfn.XLOOKUP(C117,Products!A:A,Products!B:D)</f>
        <v>Wireless Headphones</v>
      </c>
      <c r="I117" t="str">
        <v>Accessories</v>
      </c>
      <c r="J117">
        <v>149.99</v>
      </c>
      <c r="K117">
        <f t="shared" si="2"/>
        <v>749.95</v>
      </c>
      <c r="Q117" s="8"/>
    </row>
    <row r="118" spans="1:17" ht="14.25" customHeight="1" x14ac:dyDescent="0.3">
      <c r="A118" s="2" t="s">
        <v>166</v>
      </c>
      <c r="B118" s="2" t="s">
        <v>27</v>
      </c>
      <c r="C118" s="2" t="s">
        <v>43</v>
      </c>
      <c r="D118" s="2" t="s">
        <v>37</v>
      </c>
      <c r="E118" s="2" t="s">
        <v>24</v>
      </c>
      <c r="F118" s="2">
        <v>5</v>
      </c>
      <c r="G118" s="2" t="s">
        <v>21</v>
      </c>
      <c r="H118" t="str" cm="1">
        <f t="array" ref="H118:J118">_xlfn.XLOOKUP(C118,Products!A:A,Products!B:D)</f>
        <v>Bluetooth Speaker</v>
      </c>
      <c r="I118" t="str">
        <v>Accessories</v>
      </c>
      <c r="J118">
        <v>79.989999999999995</v>
      </c>
      <c r="K118">
        <f t="shared" si="2"/>
        <v>399.95</v>
      </c>
      <c r="Q118" s="8"/>
    </row>
    <row r="119" spans="1:17" ht="14.25" customHeight="1" x14ac:dyDescent="0.3">
      <c r="A119" s="2" t="s">
        <v>167</v>
      </c>
      <c r="B119" s="2" t="s">
        <v>27</v>
      </c>
      <c r="C119" s="2" t="s">
        <v>30</v>
      </c>
      <c r="D119" s="2" t="s">
        <v>41</v>
      </c>
      <c r="E119" s="2" t="s">
        <v>47</v>
      </c>
      <c r="F119" s="2">
        <v>5</v>
      </c>
      <c r="G119" s="2" t="s">
        <v>21</v>
      </c>
      <c r="H119" t="str" cm="1">
        <f t="array" ref="H119:J119">_xlfn.XLOOKUP(C119,Products!A:A,Products!B:D)</f>
        <v>Wireless Headphones</v>
      </c>
      <c r="I119" t="str">
        <v>Accessories</v>
      </c>
      <c r="J119">
        <v>149.99</v>
      </c>
      <c r="K119">
        <f t="shared" si="2"/>
        <v>749.95</v>
      </c>
      <c r="Q119" s="8"/>
    </row>
    <row r="120" spans="1:17" ht="14.25" customHeight="1" x14ac:dyDescent="0.3">
      <c r="A120" s="2" t="s">
        <v>168</v>
      </c>
      <c r="B120" s="2" t="s">
        <v>17</v>
      </c>
      <c r="C120" s="2" t="s">
        <v>30</v>
      </c>
      <c r="D120" s="2" t="s">
        <v>60</v>
      </c>
      <c r="E120" s="2" t="s">
        <v>52</v>
      </c>
      <c r="F120" s="2">
        <v>4</v>
      </c>
      <c r="G120" s="2" t="s">
        <v>21</v>
      </c>
      <c r="H120" t="str" cm="1">
        <f t="array" ref="H120:J120">_xlfn.XLOOKUP(C120,Products!A:A,Products!B:D)</f>
        <v>Wireless Headphones</v>
      </c>
      <c r="I120" t="str">
        <v>Accessories</v>
      </c>
      <c r="J120">
        <v>149.99</v>
      </c>
      <c r="K120">
        <f t="shared" si="2"/>
        <v>599.96</v>
      </c>
      <c r="Q120" s="8"/>
    </row>
    <row r="121" spans="1:17" ht="14.25" customHeight="1" x14ac:dyDescent="0.3">
      <c r="A121" s="2" t="s">
        <v>169</v>
      </c>
      <c r="B121" s="2" t="s">
        <v>27</v>
      </c>
      <c r="C121" s="2" t="s">
        <v>46</v>
      </c>
      <c r="D121" s="2" t="s">
        <v>60</v>
      </c>
      <c r="E121" s="2" t="s">
        <v>24</v>
      </c>
      <c r="F121" s="2">
        <v>3</v>
      </c>
      <c r="G121" s="2" t="s">
        <v>21</v>
      </c>
      <c r="H121" t="str" cm="1">
        <f t="array" ref="H121:J121">_xlfn.XLOOKUP(C121,Products!A:A,Products!B:D)</f>
        <v>Ergonomic Chair</v>
      </c>
      <c r="I121" t="str">
        <v>Furniture</v>
      </c>
      <c r="J121">
        <v>249.99</v>
      </c>
      <c r="K121">
        <f t="shared" si="2"/>
        <v>749.97</v>
      </c>
      <c r="Q121" s="8"/>
    </row>
    <row r="122" spans="1:17" ht="14.25" customHeight="1" x14ac:dyDescent="0.3">
      <c r="A122" s="2" t="s">
        <v>170</v>
      </c>
      <c r="B122" s="2" t="s">
        <v>27</v>
      </c>
      <c r="C122" s="2" t="s">
        <v>38</v>
      </c>
      <c r="D122" s="2" t="s">
        <v>37</v>
      </c>
      <c r="E122" s="2" t="s">
        <v>52</v>
      </c>
      <c r="F122" s="2">
        <v>3</v>
      </c>
      <c r="G122" s="2" t="s">
        <v>61</v>
      </c>
      <c r="H122" t="str" cm="1">
        <f t="array" ref="H122:J122">_xlfn.XLOOKUP(C122,Products!A:A,Products!B:D)</f>
        <v>Gaming Mouse</v>
      </c>
      <c r="I122" t="str">
        <v>Accessories</v>
      </c>
      <c r="J122">
        <v>49.99</v>
      </c>
      <c r="K122">
        <f t="shared" si="2"/>
        <v>149.97</v>
      </c>
      <c r="Q122" s="8"/>
    </row>
    <row r="123" spans="1:17" ht="14.25" customHeight="1" x14ac:dyDescent="0.3">
      <c r="A123" s="2" t="s">
        <v>171</v>
      </c>
      <c r="B123" s="2" t="s">
        <v>34</v>
      </c>
      <c r="C123" s="2" t="s">
        <v>7</v>
      </c>
      <c r="D123" s="2" t="s">
        <v>60</v>
      </c>
      <c r="E123" s="2" t="s">
        <v>20</v>
      </c>
      <c r="F123" s="2">
        <v>2</v>
      </c>
      <c r="G123" s="2" t="s">
        <v>25</v>
      </c>
      <c r="H123" t="str" cm="1">
        <f t="array" ref="H123:J123">_xlfn.XLOOKUP(C123,Products!A:A,Products!B:D)</f>
        <v>Smartphone X</v>
      </c>
      <c r="I123" t="str">
        <v>Electronics</v>
      </c>
      <c r="J123">
        <v>999.99</v>
      </c>
      <c r="K123">
        <f t="shared" si="2"/>
        <v>0</v>
      </c>
      <c r="Q123" s="8"/>
    </row>
    <row r="124" spans="1:17" ht="14.25" customHeight="1" x14ac:dyDescent="0.3">
      <c r="A124" s="2" t="s">
        <v>172</v>
      </c>
      <c r="B124" s="2" t="s">
        <v>56</v>
      </c>
      <c r="C124" s="2" t="s">
        <v>7</v>
      </c>
      <c r="D124" s="2" t="s">
        <v>19</v>
      </c>
      <c r="E124" s="2" t="s">
        <v>47</v>
      </c>
      <c r="F124" s="2">
        <v>5</v>
      </c>
      <c r="G124" s="2" t="s">
        <v>21</v>
      </c>
      <c r="H124" t="str" cm="1">
        <f t="array" ref="H124:J124">_xlfn.XLOOKUP(C124,Products!A:A,Products!B:D)</f>
        <v>Smartphone X</v>
      </c>
      <c r="I124" t="str">
        <v>Electronics</v>
      </c>
      <c r="J124">
        <v>999.99</v>
      </c>
      <c r="K124">
        <f t="shared" si="2"/>
        <v>4999.95</v>
      </c>
      <c r="Q124" s="8"/>
    </row>
    <row r="125" spans="1:17" ht="14.25" customHeight="1" x14ac:dyDescent="0.3">
      <c r="A125" s="2" t="s">
        <v>173</v>
      </c>
      <c r="B125" s="2" t="s">
        <v>17</v>
      </c>
      <c r="C125" s="2" t="s">
        <v>38</v>
      </c>
      <c r="D125" s="2" t="s">
        <v>29</v>
      </c>
      <c r="E125" s="2" t="s">
        <v>52</v>
      </c>
      <c r="F125" s="2">
        <v>1</v>
      </c>
      <c r="G125" s="2" t="s">
        <v>21</v>
      </c>
      <c r="H125" t="str" cm="1">
        <f t="array" ref="H125:J125">_xlfn.XLOOKUP(C125,Products!A:A,Products!B:D)</f>
        <v>Gaming Mouse</v>
      </c>
      <c r="I125" t="str">
        <v>Accessories</v>
      </c>
      <c r="J125">
        <v>49.99</v>
      </c>
      <c r="K125">
        <f t="shared" si="2"/>
        <v>49.99</v>
      </c>
      <c r="Q125" s="8"/>
    </row>
    <row r="126" spans="1:17" ht="14.25" customHeight="1" x14ac:dyDescent="0.3">
      <c r="A126" s="2" t="s">
        <v>174</v>
      </c>
      <c r="B126" s="2" t="s">
        <v>27</v>
      </c>
      <c r="C126" s="2" t="s">
        <v>7</v>
      </c>
      <c r="D126" s="2" t="s">
        <v>19</v>
      </c>
      <c r="E126" s="2" t="s">
        <v>20</v>
      </c>
      <c r="F126" s="2">
        <v>4</v>
      </c>
      <c r="G126" s="2" t="s">
        <v>21</v>
      </c>
      <c r="H126" t="str" cm="1">
        <f t="array" ref="H126:J126">_xlfn.XLOOKUP(C126,Products!A:A,Products!B:D)</f>
        <v>Smartphone X</v>
      </c>
      <c r="I126" t="str">
        <v>Electronics</v>
      </c>
      <c r="J126">
        <v>999.99</v>
      </c>
      <c r="K126">
        <f t="shared" si="2"/>
        <v>3999.96</v>
      </c>
      <c r="Q126" s="8"/>
    </row>
    <row r="127" spans="1:17" ht="14.25" customHeight="1" x14ac:dyDescent="0.3">
      <c r="A127" s="2" t="s">
        <v>175</v>
      </c>
      <c r="B127" s="2" t="s">
        <v>56</v>
      </c>
      <c r="C127" s="2" t="s">
        <v>7</v>
      </c>
      <c r="D127" s="2" t="s">
        <v>37</v>
      </c>
      <c r="E127" s="2" t="s">
        <v>24</v>
      </c>
      <c r="F127" s="2">
        <v>5</v>
      </c>
      <c r="G127" s="2" t="s">
        <v>21</v>
      </c>
      <c r="H127" t="str" cm="1">
        <f t="array" ref="H127:J127">_xlfn.XLOOKUP(C127,Products!A:A,Products!B:D)</f>
        <v>Smartphone X</v>
      </c>
      <c r="I127" t="str">
        <v>Electronics</v>
      </c>
      <c r="J127">
        <v>999.99</v>
      </c>
      <c r="K127">
        <f t="shared" si="2"/>
        <v>4999.95</v>
      </c>
      <c r="Q127" s="8"/>
    </row>
    <row r="128" spans="1:17" ht="14.25" customHeight="1" x14ac:dyDescent="0.3">
      <c r="A128" s="2" t="s">
        <v>176</v>
      </c>
      <c r="B128" s="2" t="s">
        <v>54</v>
      </c>
      <c r="C128" s="2" t="s">
        <v>35</v>
      </c>
      <c r="D128" s="2" t="s">
        <v>29</v>
      </c>
      <c r="E128" s="2" t="s">
        <v>52</v>
      </c>
      <c r="F128" s="2">
        <v>4</v>
      </c>
      <c r="G128" s="2" t="s">
        <v>21</v>
      </c>
      <c r="H128" t="str" cm="1">
        <f t="array" ref="H128:J128">_xlfn.XLOOKUP(C128,Products!A:A,Products!B:D)</f>
        <v>Mechanical Keyboard</v>
      </c>
      <c r="I128" t="str">
        <v>Accessories</v>
      </c>
      <c r="J128">
        <v>89.99</v>
      </c>
      <c r="K128">
        <f t="shared" si="2"/>
        <v>359.96</v>
      </c>
      <c r="Q128" s="8"/>
    </row>
    <row r="129" spans="1:17" ht="14.25" customHeight="1" x14ac:dyDescent="0.3">
      <c r="A129" s="2" t="s">
        <v>177</v>
      </c>
      <c r="B129" s="2" t="s">
        <v>56</v>
      </c>
      <c r="C129" s="2" t="s">
        <v>43</v>
      </c>
      <c r="D129" s="2" t="s">
        <v>60</v>
      </c>
      <c r="E129" s="2" t="s">
        <v>52</v>
      </c>
      <c r="F129" s="2">
        <v>5</v>
      </c>
      <c r="G129" s="2" t="s">
        <v>61</v>
      </c>
      <c r="H129" t="str" cm="1">
        <f t="array" ref="H129:J129">_xlfn.XLOOKUP(C129,Products!A:A,Products!B:D)</f>
        <v>Bluetooth Speaker</v>
      </c>
      <c r="I129" t="str">
        <v>Accessories</v>
      </c>
      <c r="J129">
        <v>79.989999999999995</v>
      </c>
      <c r="K129">
        <f t="shared" si="2"/>
        <v>399.95</v>
      </c>
      <c r="Q129" s="8"/>
    </row>
    <row r="130" spans="1:17" ht="14.25" customHeight="1" x14ac:dyDescent="0.3">
      <c r="A130" s="2" t="s">
        <v>178</v>
      </c>
      <c r="B130" s="2" t="s">
        <v>27</v>
      </c>
      <c r="C130" s="2" t="s">
        <v>23</v>
      </c>
      <c r="D130" s="2" t="s">
        <v>19</v>
      </c>
      <c r="E130" s="2" t="s">
        <v>24</v>
      </c>
      <c r="F130" s="2">
        <v>4</v>
      </c>
      <c r="G130" s="2" t="s">
        <v>61</v>
      </c>
      <c r="H130" t="str" cm="1">
        <f t="array" ref="H130:J130">_xlfn.XLOOKUP(C130,Products!A:A,Products!B:D)</f>
        <v>4K Monitor</v>
      </c>
      <c r="I130" t="str">
        <v>Electronics</v>
      </c>
      <c r="J130">
        <v>349.99</v>
      </c>
      <c r="K130">
        <f t="shared" si="2"/>
        <v>1399.96</v>
      </c>
      <c r="Q130" s="8"/>
    </row>
    <row r="131" spans="1:17" ht="14.25" customHeight="1" x14ac:dyDescent="0.3">
      <c r="A131" s="2" t="s">
        <v>179</v>
      </c>
      <c r="B131" s="2" t="s">
        <v>58</v>
      </c>
      <c r="C131" s="2" t="s">
        <v>46</v>
      </c>
      <c r="D131" s="2" t="s">
        <v>29</v>
      </c>
      <c r="E131" s="2" t="s">
        <v>52</v>
      </c>
      <c r="F131" s="2">
        <v>2</v>
      </c>
      <c r="G131" s="2" t="s">
        <v>21</v>
      </c>
      <c r="H131" t="str" cm="1">
        <f t="array" ref="H131:J131">_xlfn.XLOOKUP(C131,Products!A:A,Products!B:D)</f>
        <v>Ergonomic Chair</v>
      </c>
      <c r="I131" t="str">
        <v>Furniture</v>
      </c>
      <c r="J131">
        <v>249.99</v>
      </c>
      <c r="K131">
        <f t="shared" ref="K131:K194" si="3">IF(G131="Cancelled", 0, F131*J131)</f>
        <v>499.98</v>
      </c>
      <c r="Q131" s="8"/>
    </row>
    <row r="132" spans="1:17" ht="14.25" customHeight="1" x14ac:dyDescent="0.3">
      <c r="A132" s="2" t="s">
        <v>180</v>
      </c>
      <c r="B132" s="2" t="s">
        <v>54</v>
      </c>
      <c r="C132" s="2" t="s">
        <v>30</v>
      </c>
      <c r="D132" s="2" t="s">
        <v>37</v>
      </c>
      <c r="E132" s="2" t="s">
        <v>20</v>
      </c>
      <c r="F132" s="2">
        <v>3</v>
      </c>
      <c r="G132" s="2" t="s">
        <v>61</v>
      </c>
      <c r="H132" t="str" cm="1">
        <f t="array" ref="H132:J132">_xlfn.XLOOKUP(C132,Products!A:A,Products!B:D)</f>
        <v>Wireless Headphones</v>
      </c>
      <c r="I132" t="str">
        <v>Accessories</v>
      </c>
      <c r="J132">
        <v>149.99</v>
      </c>
      <c r="K132">
        <f t="shared" si="3"/>
        <v>449.97</v>
      </c>
      <c r="Q132" s="8"/>
    </row>
    <row r="133" spans="1:17" ht="14.25" customHeight="1" x14ac:dyDescent="0.3">
      <c r="A133" s="2" t="s">
        <v>181</v>
      </c>
      <c r="B133" s="2" t="s">
        <v>34</v>
      </c>
      <c r="C133" s="2" t="s">
        <v>38</v>
      </c>
      <c r="D133" s="2" t="s">
        <v>19</v>
      </c>
      <c r="E133" s="2" t="s">
        <v>52</v>
      </c>
      <c r="F133" s="2">
        <v>1</v>
      </c>
      <c r="G133" s="2" t="s">
        <v>21</v>
      </c>
      <c r="H133" t="str" cm="1">
        <f t="array" ref="H133:J133">_xlfn.XLOOKUP(C133,Products!A:A,Products!B:D)</f>
        <v>Gaming Mouse</v>
      </c>
      <c r="I133" t="str">
        <v>Accessories</v>
      </c>
      <c r="J133">
        <v>49.99</v>
      </c>
      <c r="K133">
        <f t="shared" si="3"/>
        <v>49.99</v>
      </c>
      <c r="Q133" s="8"/>
    </row>
    <row r="134" spans="1:17" ht="14.25" customHeight="1" x14ac:dyDescent="0.3">
      <c r="A134" s="2" t="s">
        <v>182</v>
      </c>
      <c r="B134" s="2" t="s">
        <v>56</v>
      </c>
      <c r="C134" s="2" t="s">
        <v>23</v>
      </c>
      <c r="D134" s="2" t="s">
        <v>29</v>
      </c>
      <c r="E134" s="2" t="s">
        <v>52</v>
      </c>
      <c r="F134" s="2">
        <v>2</v>
      </c>
      <c r="G134" s="2" t="s">
        <v>61</v>
      </c>
      <c r="H134" t="str" cm="1">
        <f t="array" ref="H134:J134">_xlfn.XLOOKUP(C134,Products!A:A,Products!B:D)</f>
        <v>4K Monitor</v>
      </c>
      <c r="I134" t="str">
        <v>Electronics</v>
      </c>
      <c r="J134">
        <v>349.99</v>
      </c>
      <c r="K134">
        <f t="shared" si="3"/>
        <v>699.98</v>
      </c>
      <c r="Q134" s="8"/>
    </row>
    <row r="135" spans="1:17" ht="14.25" customHeight="1" x14ac:dyDescent="0.3">
      <c r="A135" s="2" t="s">
        <v>183</v>
      </c>
      <c r="B135" s="2" t="s">
        <v>54</v>
      </c>
      <c r="C135" s="2" t="s">
        <v>30</v>
      </c>
      <c r="D135" s="2" t="s">
        <v>60</v>
      </c>
      <c r="E135" s="2" t="s">
        <v>52</v>
      </c>
      <c r="F135" s="2">
        <v>5</v>
      </c>
      <c r="G135" s="2" t="s">
        <v>21</v>
      </c>
      <c r="H135" t="str" cm="1">
        <f t="array" ref="H135:J135">_xlfn.XLOOKUP(C135,Products!A:A,Products!B:D)</f>
        <v>Wireless Headphones</v>
      </c>
      <c r="I135" t="str">
        <v>Accessories</v>
      </c>
      <c r="J135">
        <v>149.99</v>
      </c>
      <c r="K135">
        <f t="shared" si="3"/>
        <v>749.95</v>
      </c>
      <c r="Q135" s="8"/>
    </row>
    <row r="136" spans="1:17" ht="14.25" customHeight="1" x14ac:dyDescent="0.3">
      <c r="A136" s="2" t="s">
        <v>184</v>
      </c>
      <c r="B136" s="2" t="s">
        <v>34</v>
      </c>
      <c r="C136" s="2" t="s">
        <v>7</v>
      </c>
      <c r="D136" s="2" t="s">
        <v>41</v>
      </c>
      <c r="E136" s="2" t="s">
        <v>47</v>
      </c>
      <c r="F136" s="2">
        <v>4</v>
      </c>
      <c r="G136" s="2" t="s">
        <v>25</v>
      </c>
      <c r="H136" t="str" cm="1">
        <f t="array" ref="H136:J136">_xlfn.XLOOKUP(C136,Products!A:A,Products!B:D)</f>
        <v>Smartphone X</v>
      </c>
      <c r="I136" t="str">
        <v>Electronics</v>
      </c>
      <c r="J136">
        <v>999.99</v>
      </c>
      <c r="K136">
        <f t="shared" si="3"/>
        <v>0</v>
      </c>
      <c r="Q136" s="8"/>
    </row>
    <row r="137" spans="1:17" ht="14.25" customHeight="1" x14ac:dyDescent="0.3">
      <c r="A137" s="2" t="s">
        <v>185</v>
      </c>
      <c r="B137" s="2" t="s">
        <v>54</v>
      </c>
      <c r="C137" s="2" t="s">
        <v>23</v>
      </c>
      <c r="D137" s="2" t="s">
        <v>41</v>
      </c>
      <c r="E137" s="2" t="s">
        <v>52</v>
      </c>
      <c r="F137" s="2">
        <v>4</v>
      </c>
      <c r="G137" s="2" t="s">
        <v>61</v>
      </c>
      <c r="H137" t="str" cm="1">
        <f t="array" ref="H137:J137">_xlfn.XLOOKUP(C137,Products!A:A,Products!B:D)</f>
        <v>4K Monitor</v>
      </c>
      <c r="I137" t="str">
        <v>Electronics</v>
      </c>
      <c r="J137">
        <v>349.99</v>
      </c>
      <c r="K137">
        <f t="shared" si="3"/>
        <v>1399.96</v>
      </c>
      <c r="Q137" s="8"/>
    </row>
    <row r="138" spans="1:17" ht="14.25" customHeight="1" x14ac:dyDescent="0.3">
      <c r="A138" s="2" t="s">
        <v>186</v>
      </c>
      <c r="B138" s="2" t="s">
        <v>56</v>
      </c>
      <c r="C138" s="2" t="s">
        <v>23</v>
      </c>
      <c r="D138" s="2" t="s">
        <v>37</v>
      </c>
      <c r="E138" s="2" t="s">
        <v>20</v>
      </c>
      <c r="F138" s="2">
        <v>2</v>
      </c>
      <c r="G138" s="2" t="s">
        <v>25</v>
      </c>
      <c r="H138" t="str" cm="1">
        <f t="array" ref="H138:J138">_xlfn.XLOOKUP(C138,Products!A:A,Products!B:D)</f>
        <v>4K Monitor</v>
      </c>
      <c r="I138" t="str">
        <v>Electronics</v>
      </c>
      <c r="J138">
        <v>349.99</v>
      </c>
      <c r="K138">
        <f t="shared" si="3"/>
        <v>0</v>
      </c>
      <c r="Q138" s="8"/>
    </row>
    <row r="139" spans="1:17" ht="14.25" customHeight="1" x14ac:dyDescent="0.3">
      <c r="A139" s="2" t="s">
        <v>187</v>
      </c>
      <c r="B139" s="2" t="s">
        <v>27</v>
      </c>
      <c r="C139" s="2" t="s">
        <v>35</v>
      </c>
      <c r="D139" s="2" t="s">
        <v>37</v>
      </c>
      <c r="E139" s="2" t="s">
        <v>52</v>
      </c>
      <c r="F139" s="2">
        <v>2</v>
      </c>
      <c r="G139" s="2" t="s">
        <v>21</v>
      </c>
      <c r="H139" t="str" cm="1">
        <f t="array" ref="H139:J139">_xlfn.XLOOKUP(C139,Products!A:A,Products!B:D)</f>
        <v>Mechanical Keyboard</v>
      </c>
      <c r="I139" t="str">
        <v>Accessories</v>
      </c>
      <c r="J139">
        <v>89.99</v>
      </c>
      <c r="K139">
        <f t="shared" si="3"/>
        <v>179.98</v>
      </c>
      <c r="Q139" s="8"/>
    </row>
    <row r="140" spans="1:17" ht="14.25" customHeight="1" x14ac:dyDescent="0.3">
      <c r="A140" s="2" t="s">
        <v>188</v>
      </c>
      <c r="B140" s="2" t="s">
        <v>17</v>
      </c>
      <c r="C140" s="2" t="s">
        <v>43</v>
      </c>
      <c r="D140" s="2" t="s">
        <v>60</v>
      </c>
      <c r="E140" s="2" t="s">
        <v>20</v>
      </c>
      <c r="F140" s="2">
        <v>5</v>
      </c>
      <c r="G140" s="2" t="s">
        <v>21</v>
      </c>
      <c r="H140" t="str" cm="1">
        <f t="array" ref="H140:J140">_xlfn.XLOOKUP(C140,Products!A:A,Products!B:D)</f>
        <v>Bluetooth Speaker</v>
      </c>
      <c r="I140" t="str">
        <v>Accessories</v>
      </c>
      <c r="J140">
        <v>79.989999999999995</v>
      </c>
      <c r="K140">
        <f t="shared" si="3"/>
        <v>399.95</v>
      </c>
      <c r="Q140" s="8"/>
    </row>
    <row r="141" spans="1:17" ht="14.25" customHeight="1" x14ac:dyDescent="0.3">
      <c r="A141" s="2" t="s">
        <v>189</v>
      </c>
      <c r="B141" s="2" t="s">
        <v>17</v>
      </c>
      <c r="C141" s="2" t="s">
        <v>38</v>
      </c>
      <c r="D141" s="2" t="s">
        <v>29</v>
      </c>
      <c r="E141" s="2" t="s">
        <v>24</v>
      </c>
      <c r="F141" s="2">
        <v>2</v>
      </c>
      <c r="G141" s="2" t="s">
        <v>21</v>
      </c>
      <c r="H141" t="str" cm="1">
        <f t="array" ref="H141:J141">_xlfn.XLOOKUP(C141,Products!A:A,Products!B:D)</f>
        <v>Gaming Mouse</v>
      </c>
      <c r="I141" t="str">
        <v>Accessories</v>
      </c>
      <c r="J141">
        <v>49.99</v>
      </c>
      <c r="K141">
        <f t="shared" si="3"/>
        <v>99.98</v>
      </c>
      <c r="Q141" s="8"/>
    </row>
    <row r="142" spans="1:17" ht="14.25" customHeight="1" x14ac:dyDescent="0.3">
      <c r="A142" s="2" t="s">
        <v>190</v>
      </c>
      <c r="B142" s="2" t="s">
        <v>56</v>
      </c>
      <c r="C142" s="2" t="s">
        <v>30</v>
      </c>
      <c r="D142" s="2" t="s">
        <v>37</v>
      </c>
      <c r="E142" s="2" t="s">
        <v>47</v>
      </c>
      <c r="F142" s="2">
        <v>3</v>
      </c>
      <c r="G142" s="2" t="s">
        <v>21</v>
      </c>
      <c r="H142" t="str" cm="1">
        <f t="array" ref="H142:J142">_xlfn.XLOOKUP(C142,Products!A:A,Products!B:D)</f>
        <v>Wireless Headphones</v>
      </c>
      <c r="I142" t="str">
        <v>Accessories</v>
      </c>
      <c r="J142">
        <v>149.99</v>
      </c>
      <c r="K142">
        <f t="shared" si="3"/>
        <v>449.97</v>
      </c>
      <c r="Q142" s="8"/>
    </row>
    <row r="143" spans="1:17" ht="14.25" customHeight="1" x14ac:dyDescent="0.3">
      <c r="A143" s="2" t="s">
        <v>191</v>
      </c>
      <c r="B143" s="2" t="s">
        <v>17</v>
      </c>
      <c r="C143" s="2" t="s">
        <v>38</v>
      </c>
      <c r="D143" s="2" t="s">
        <v>41</v>
      </c>
      <c r="E143" s="2" t="s">
        <v>24</v>
      </c>
      <c r="F143" s="2">
        <v>3</v>
      </c>
      <c r="G143" s="2" t="s">
        <v>21</v>
      </c>
      <c r="H143" t="str" cm="1">
        <f t="array" ref="H143:J143">_xlfn.XLOOKUP(C143,Products!A:A,Products!B:D)</f>
        <v>Gaming Mouse</v>
      </c>
      <c r="I143" t="str">
        <v>Accessories</v>
      </c>
      <c r="J143">
        <v>49.99</v>
      </c>
      <c r="K143">
        <f t="shared" si="3"/>
        <v>149.97</v>
      </c>
      <c r="Q143" s="8"/>
    </row>
    <row r="144" spans="1:17" ht="14.25" customHeight="1" x14ac:dyDescent="0.3">
      <c r="A144" s="2" t="s">
        <v>192</v>
      </c>
      <c r="B144" s="2" t="s">
        <v>17</v>
      </c>
      <c r="C144" s="2" t="s">
        <v>46</v>
      </c>
      <c r="D144" s="2" t="s">
        <v>37</v>
      </c>
      <c r="E144" s="2" t="s">
        <v>52</v>
      </c>
      <c r="F144" s="2">
        <v>3</v>
      </c>
      <c r="G144" s="2" t="s">
        <v>21</v>
      </c>
      <c r="H144" t="str" cm="1">
        <f t="array" ref="H144:J144">_xlfn.XLOOKUP(C144,Products!A:A,Products!B:D)</f>
        <v>Ergonomic Chair</v>
      </c>
      <c r="I144" t="str">
        <v>Furniture</v>
      </c>
      <c r="J144">
        <v>249.99</v>
      </c>
      <c r="K144">
        <f t="shared" si="3"/>
        <v>749.97</v>
      </c>
      <c r="Q144" s="8"/>
    </row>
    <row r="145" spans="1:17" ht="14.25" customHeight="1" x14ac:dyDescent="0.3">
      <c r="A145" s="2" t="s">
        <v>193</v>
      </c>
      <c r="B145" s="2" t="s">
        <v>17</v>
      </c>
      <c r="C145" s="2" t="s">
        <v>18</v>
      </c>
      <c r="D145" s="2" t="s">
        <v>37</v>
      </c>
      <c r="E145" s="2" t="s">
        <v>52</v>
      </c>
      <c r="F145" s="2">
        <v>2</v>
      </c>
      <c r="G145" s="2" t="s">
        <v>25</v>
      </c>
      <c r="H145" t="str" cm="1">
        <f t="array" ref="H145:J145">_xlfn.XLOOKUP(C145,Products!A:A,Products!B:D)</f>
        <v>Tablet Air</v>
      </c>
      <c r="I145" t="str">
        <v>Electronics</v>
      </c>
      <c r="J145">
        <v>499.99</v>
      </c>
      <c r="K145">
        <f t="shared" si="3"/>
        <v>0</v>
      </c>
      <c r="Q145" s="8"/>
    </row>
    <row r="146" spans="1:17" ht="14.25" customHeight="1" x14ac:dyDescent="0.3">
      <c r="A146" s="2" t="s">
        <v>194</v>
      </c>
      <c r="B146" s="2" t="s">
        <v>56</v>
      </c>
      <c r="C146" s="2" t="s">
        <v>43</v>
      </c>
      <c r="D146" s="2" t="s">
        <v>37</v>
      </c>
      <c r="E146" s="2" t="s">
        <v>52</v>
      </c>
      <c r="F146" s="2">
        <v>1</v>
      </c>
      <c r="G146" s="2" t="s">
        <v>25</v>
      </c>
      <c r="H146" t="str" cm="1">
        <f t="array" ref="H146:J146">_xlfn.XLOOKUP(C146,Products!A:A,Products!B:D)</f>
        <v>Bluetooth Speaker</v>
      </c>
      <c r="I146" t="str">
        <v>Accessories</v>
      </c>
      <c r="J146">
        <v>79.989999999999995</v>
      </c>
      <c r="K146">
        <f t="shared" si="3"/>
        <v>0</v>
      </c>
      <c r="Q146" s="8"/>
    </row>
    <row r="147" spans="1:17" ht="14.25" customHeight="1" x14ac:dyDescent="0.3">
      <c r="A147" s="2" t="s">
        <v>195</v>
      </c>
      <c r="B147" s="2" t="s">
        <v>34</v>
      </c>
      <c r="C147" s="2" t="s">
        <v>43</v>
      </c>
      <c r="D147" s="2" t="s">
        <v>60</v>
      </c>
      <c r="E147" s="2" t="s">
        <v>47</v>
      </c>
      <c r="F147" s="2">
        <v>5</v>
      </c>
      <c r="G147" s="2" t="s">
        <v>61</v>
      </c>
      <c r="H147" t="str" cm="1">
        <f t="array" ref="H147:J147">_xlfn.XLOOKUP(C147,Products!A:A,Products!B:D)</f>
        <v>Bluetooth Speaker</v>
      </c>
      <c r="I147" t="str">
        <v>Accessories</v>
      </c>
      <c r="J147">
        <v>79.989999999999995</v>
      </c>
      <c r="K147">
        <f t="shared" si="3"/>
        <v>399.95</v>
      </c>
      <c r="Q147" s="8"/>
    </row>
    <row r="148" spans="1:17" ht="14.25" customHeight="1" x14ac:dyDescent="0.3">
      <c r="A148" s="2" t="s">
        <v>196</v>
      </c>
      <c r="B148" s="2" t="s">
        <v>54</v>
      </c>
      <c r="C148" s="2" t="s">
        <v>38</v>
      </c>
      <c r="D148" s="2" t="s">
        <v>37</v>
      </c>
      <c r="E148" s="2" t="s">
        <v>24</v>
      </c>
      <c r="F148" s="2">
        <v>2</v>
      </c>
      <c r="G148" s="2" t="s">
        <v>25</v>
      </c>
      <c r="H148" t="str" cm="1">
        <f t="array" ref="H148:J148">_xlfn.XLOOKUP(C148,Products!A:A,Products!B:D)</f>
        <v>Gaming Mouse</v>
      </c>
      <c r="I148" t="str">
        <v>Accessories</v>
      </c>
      <c r="J148">
        <v>49.99</v>
      </c>
      <c r="K148">
        <f t="shared" si="3"/>
        <v>0</v>
      </c>
      <c r="Q148" s="8"/>
    </row>
    <row r="149" spans="1:17" ht="14.25" customHeight="1" x14ac:dyDescent="0.3">
      <c r="A149" s="2" t="s">
        <v>197</v>
      </c>
      <c r="B149" s="2" t="s">
        <v>27</v>
      </c>
      <c r="C149" s="2" t="s">
        <v>38</v>
      </c>
      <c r="D149" s="2" t="s">
        <v>19</v>
      </c>
      <c r="E149" s="2" t="s">
        <v>52</v>
      </c>
      <c r="F149" s="2">
        <v>5</v>
      </c>
      <c r="G149" s="2" t="s">
        <v>21</v>
      </c>
      <c r="H149" t="str" cm="1">
        <f t="array" ref="H149:J149">_xlfn.XLOOKUP(C149,Products!A:A,Products!B:D)</f>
        <v>Gaming Mouse</v>
      </c>
      <c r="I149" t="str">
        <v>Accessories</v>
      </c>
      <c r="J149">
        <v>49.99</v>
      </c>
      <c r="K149">
        <f t="shared" si="3"/>
        <v>249.95000000000002</v>
      </c>
      <c r="Q149" s="8"/>
    </row>
    <row r="150" spans="1:17" ht="14.25" customHeight="1" x14ac:dyDescent="0.3">
      <c r="A150" s="2" t="s">
        <v>198</v>
      </c>
      <c r="B150" s="2" t="s">
        <v>54</v>
      </c>
      <c r="C150" s="2" t="s">
        <v>46</v>
      </c>
      <c r="D150" s="2" t="s">
        <v>37</v>
      </c>
      <c r="E150" s="2" t="s">
        <v>20</v>
      </c>
      <c r="F150" s="2">
        <v>4</v>
      </c>
      <c r="G150" s="2" t="s">
        <v>21</v>
      </c>
      <c r="H150" t="str" cm="1">
        <f t="array" ref="H150:J150">_xlfn.XLOOKUP(C150,Products!A:A,Products!B:D)</f>
        <v>Ergonomic Chair</v>
      </c>
      <c r="I150" t="str">
        <v>Furniture</v>
      </c>
      <c r="J150">
        <v>249.99</v>
      </c>
      <c r="K150">
        <f t="shared" si="3"/>
        <v>999.96</v>
      </c>
      <c r="Q150" s="8"/>
    </row>
    <row r="151" spans="1:17" ht="14.25" customHeight="1" x14ac:dyDescent="0.3">
      <c r="A151" s="2" t="s">
        <v>199</v>
      </c>
      <c r="B151" s="2" t="s">
        <v>56</v>
      </c>
      <c r="C151" s="2" t="s">
        <v>7</v>
      </c>
      <c r="D151" s="2" t="s">
        <v>41</v>
      </c>
      <c r="E151" s="2" t="s">
        <v>20</v>
      </c>
      <c r="F151" s="2">
        <v>3</v>
      </c>
      <c r="G151" s="2" t="s">
        <v>61</v>
      </c>
      <c r="H151" t="str" cm="1">
        <f t="array" ref="H151:J151">_xlfn.XLOOKUP(C151,Products!A:A,Products!B:D)</f>
        <v>Smartphone X</v>
      </c>
      <c r="I151" t="str">
        <v>Electronics</v>
      </c>
      <c r="J151">
        <v>999.99</v>
      </c>
      <c r="K151">
        <f t="shared" si="3"/>
        <v>2999.9700000000003</v>
      </c>
      <c r="Q151" s="8"/>
    </row>
    <row r="152" spans="1:17" ht="14.25" customHeight="1" x14ac:dyDescent="0.3">
      <c r="A152" s="2" t="s">
        <v>200</v>
      </c>
      <c r="B152" s="2" t="s">
        <v>58</v>
      </c>
      <c r="C152" s="2" t="s">
        <v>30</v>
      </c>
      <c r="D152" s="2" t="s">
        <v>19</v>
      </c>
      <c r="E152" s="2" t="s">
        <v>20</v>
      </c>
      <c r="F152" s="2">
        <v>5</v>
      </c>
      <c r="G152" s="2" t="s">
        <v>21</v>
      </c>
      <c r="H152" t="str" cm="1">
        <f t="array" ref="H152:J152">_xlfn.XLOOKUP(C152,Products!A:A,Products!B:D)</f>
        <v>Wireless Headphones</v>
      </c>
      <c r="I152" t="str">
        <v>Accessories</v>
      </c>
      <c r="J152">
        <v>149.99</v>
      </c>
      <c r="K152">
        <f t="shared" si="3"/>
        <v>749.95</v>
      </c>
      <c r="Q152" s="8"/>
    </row>
    <row r="153" spans="1:17" ht="14.25" customHeight="1" x14ac:dyDescent="0.3">
      <c r="A153" s="2" t="s">
        <v>201</v>
      </c>
      <c r="B153" s="2" t="s">
        <v>17</v>
      </c>
      <c r="C153" s="2" t="s">
        <v>7</v>
      </c>
      <c r="D153" s="2" t="s">
        <v>37</v>
      </c>
      <c r="E153" s="2" t="s">
        <v>24</v>
      </c>
      <c r="F153" s="2">
        <v>3</v>
      </c>
      <c r="G153" s="2" t="s">
        <v>21</v>
      </c>
      <c r="H153" t="str" cm="1">
        <f t="array" ref="H153:J153">_xlfn.XLOOKUP(C153,Products!A:A,Products!B:D)</f>
        <v>Smartphone X</v>
      </c>
      <c r="I153" t="str">
        <v>Electronics</v>
      </c>
      <c r="J153">
        <v>999.99</v>
      </c>
      <c r="K153">
        <f t="shared" si="3"/>
        <v>2999.9700000000003</v>
      </c>
      <c r="Q153" s="8"/>
    </row>
    <row r="154" spans="1:17" ht="14.25" customHeight="1" x14ac:dyDescent="0.3">
      <c r="A154" s="2" t="s">
        <v>202</v>
      </c>
      <c r="B154" s="2" t="s">
        <v>17</v>
      </c>
      <c r="C154" s="2" t="s">
        <v>38</v>
      </c>
      <c r="D154" s="2" t="s">
        <v>60</v>
      </c>
      <c r="E154" s="2" t="s">
        <v>47</v>
      </c>
      <c r="F154" s="2">
        <v>3</v>
      </c>
      <c r="G154" s="2" t="s">
        <v>21</v>
      </c>
      <c r="H154" t="str" cm="1">
        <f t="array" ref="H154:J154">_xlfn.XLOOKUP(C154,Products!A:A,Products!B:D)</f>
        <v>Gaming Mouse</v>
      </c>
      <c r="I154" t="str">
        <v>Accessories</v>
      </c>
      <c r="J154">
        <v>49.99</v>
      </c>
      <c r="K154">
        <f t="shared" si="3"/>
        <v>149.97</v>
      </c>
      <c r="Q154" s="8"/>
    </row>
    <row r="155" spans="1:17" ht="14.25" customHeight="1" x14ac:dyDescent="0.3">
      <c r="A155" s="2" t="s">
        <v>203</v>
      </c>
      <c r="B155" s="2" t="s">
        <v>27</v>
      </c>
      <c r="C155" s="2" t="s">
        <v>35</v>
      </c>
      <c r="D155" s="2" t="s">
        <v>29</v>
      </c>
      <c r="E155" s="2" t="s">
        <v>24</v>
      </c>
      <c r="F155" s="2">
        <v>5</v>
      </c>
      <c r="G155" s="2" t="s">
        <v>21</v>
      </c>
      <c r="H155" t="str" cm="1">
        <f t="array" ref="H155:J155">_xlfn.XLOOKUP(C155,Products!A:A,Products!B:D)</f>
        <v>Mechanical Keyboard</v>
      </c>
      <c r="I155" t="str">
        <v>Accessories</v>
      </c>
      <c r="J155">
        <v>89.99</v>
      </c>
      <c r="K155">
        <f t="shared" si="3"/>
        <v>449.95</v>
      </c>
      <c r="Q155" s="8"/>
    </row>
    <row r="156" spans="1:17" ht="14.25" customHeight="1" x14ac:dyDescent="0.3">
      <c r="A156" s="2" t="s">
        <v>204</v>
      </c>
      <c r="B156" s="2" t="s">
        <v>56</v>
      </c>
      <c r="C156" s="2" t="s">
        <v>30</v>
      </c>
      <c r="D156" s="2" t="s">
        <v>29</v>
      </c>
      <c r="E156" s="2" t="s">
        <v>20</v>
      </c>
      <c r="F156" s="2">
        <v>2</v>
      </c>
      <c r="G156" s="2" t="s">
        <v>25</v>
      </c>
      <c r="H156" t="str" cm="1">
        <f t="array" ref="H156:J156">_xlfn.XLOOKUP(C156,Products!A:A,Products!B:D)</f>
        <v>Wireless Headphones</v>
      </c>
      <c r="I156" t="str">
        <v>Accessories</v>
      </c>
      <c r="J156">
        <v>149.99</v>
      </c>
      <c r="K156">
        <f t="shared" si="3"/>
        <v>0</v>
      </c>
      <c r="Q156" s="8"/>
    </row>
    <row r="157" spans="1:17" ht="14.25" customHeight="1" x14ac:dyDescent="0.3">
      <c r="A157" s="2" t="s">
        <v>205</v>
      </c>
      <c r="B157" s="2" t="s">
        <v>58</v>
      </c>
      <c r="C157" s="2" t="s">
        <v>7</v>
      </c>
      <c r="D157" s="2" t="s">
        <v>19</v>
      </c>
      <c r="E157" s="2" t="s">
        <v>24</v>
      </c>
      <c r="F157" s="2">
        <v>5</v>
      </c>
      <c r="G157" s="2" t="s">
        <v>21</v>
      </c>
      <c r="H157" t="str" cm="1">
        <f t="array" ref="H157:J157">_xlfn.XLOOKUP(C157,Products!A:A,Products!B:D)</f>
        <v>Smartphone X</v>
      </c>
      <c r="I157" t="str">
        <v>Electronics</v>
      </c>
      <c r="J157">
        <v>999.99</v>
      </c>
      <c r="K157">
        <f t="shared" si="3"/>
        <v>4999.95</v>
      </c>
      <c r="Q157" s="8"/>
    </row>
    <row r="158" spans="1:17" ht="14.25" customHeight="1" x14ac:dyDescent="0.3">
      <c r="A158" s="2" t="s">
        <v>206</v>
      </c>
      <c r="B158" s="2" t="s">
        <v>27</v>
      </c>
      <c r="C158" s="2" t="s">
        <v>30</v>
      </c>
      <c r="D158" s="2" t="s">
        <v>41</v>
      </c>
      <c r="E158" s="2" t="s">
        <v>52</v>
      </c>
      <c r="F158" s="2">
        <v>4</v>
      </c>
      <c r="G158" s="2" t="s">
        <v>21</v>
      </c>
      <c r="H158" t="str" cm="1">
        <f t="array" ref="H158:J158">_xlfn.XLOOKUP(C158,Products!A:A,Products!B:D)</f>
        <v>Wireless Headphones</v>
      </c>
      <c r="I158" t="str">
        <v>Accessories</v>
      </c>
      <c r="J158">
        <v>149.99</v>
      </c>
      <c r="K158">
        <f t="shared" si="3"/>
        <v>599.96</v>
      </c>
      <c r="Q158" s="8"/>
    </row>
    <row r="159" spans="1:17" ht="14.25" customHeight="1" x14ac:dyDescent="0.3">
      <c r="A159" s="2" t="s">
        <v>207</v>
      </c>
      <c r="B159" s="2" t="s">
        <v>58</v>
      </c>
      <c r="C159" s="2" t="s">
        <v>35</v>
      </c>
      <c r="D159" s="2" t="s">
        <v>37</v>
      </c>
      <c r="E159" s="2" t="s">
        <v>20</v>
      </c>
      <c r="F159" s="2">
        <v>1</v>
      </c>
      <c r="G159" s="2" t="s">
        <v>21</v>
      </c>
      <c r="H159" t="str" cm="1">
        <f t="array" ref="H159:J159">_xlfn.XLOOKUP(C159,Products!A:A,Products!B:D)</f>
        <v>Mechanical Keyboard</v>
      </c>
      <c r="I159" t="str">
        <v>Accessories</v>
      </c>
      <c r="J159">
        <v>89.99</v>
      </c>
      <c r="K159">
        <f t="shared" si="3"/>
        <v>89.99</v>
      </c>
      <c r="Q159" s="8"/>
    </row>
    <row r="160" spans="1:17" ht="14.25" customHeight="1" x14ac:dyDescent="0.3">
      <c r="A160" s="2" t="s">
        <v>208</v>
      </c>
      <c r="B160" s="2" t="s">
        <v>58</v>
      </c>
      <c r="C160" s="2" t="s">
        <v>38</v>
      </c>
      <c r="D160" s="2" t="s">
        <v>60</v>
      </c>
      <c r="E160" s="2" t="s">
        <v>52</v>
      </c>
      <c r="F160" s="2">
        <v>1</v>
      </c>
      <c r="G160" s="2" t="s">
        <v>21</v>
      </c>
      <c r="H160" t="str" cm="1">
        <f t="array" ref="H160:J160">_xlfn.XLOOKUP(C160,Products!A:A,Products!B:D)</f>
        <v>Gaming Mouse</v>
      </c>
      <c r="I160" t="str">
        <v>Accessories</v>
      </c>
      <c r="J160">
        <v>49.99</v>
      </c>
      <c r="K160">
        <f t="shared" si="3"/>
        <v>49.99</v>
      </c>
      <c r="Q160" s="8"/>
    </row>
    <row r="161" spans="1:17" ht="14.25" customHeight="1" x14ac:dyDescent="0.3">
      <c r="A161" s="2" t="s">
        <v>209</v>
      </c>
      <c r="B161" s="2" t="s">
        <v>56</v>
      </c>
      <c r="C161" s="2" t="s">
        <v>38</v>
      </c>
      <c r="D161" s="2" t="s">
        <v>41</v>
      </c>
      <c r="E161" s="2" t="s">
        <v>52</v>
      </c>
      <c r="F161" s="2">
        <v>1</v>
      </c>
      <c r="G161" s="2" t="s">
        <v>21</v>
      </c>
      <c r="H161" t="str" cm="1">
        <f t="array" ref="H161:J161">_xlfn.XLOOKUP(C161,Products!A:A,Products!B:D)</f>
        <v>Gaming Mouse</v>
      </c>
      <c r="I161" t="str">
        <v>Accessories</v>
      </c>
      <c r="J161">
        <v>49.99</v>
      </c>
      <c r="K161">
        <f t="shared" si="3"/>
        <v>49.99</v>
      </c>
      <c r="Q161" s="8"/>
    </row>
    <row r="162" spans="1:17" ht="14.25" customHeight="1" x14ac:dyDescent="0.3">
      <c r="A162" s="2" t="s">
        <v>210</v>
      </c>
      <c r="B162" s="2" t="s">
        <v>54</v>
      </c>
      <c r="C162" s="2" t="s">
        <v>23</v>
      </c>
      <c r="D162" s="2" t="s">
        <v>37</v>
      </c>
      <c r="E162" s="2" t="s">
        <v>47</v>
      </c>
      <c r="F162" s="2">
        <v>4</v>
      </c>
      <c r="G162" s="2" t="s">
        <v>21</v>
      </c>
      <c r="H162" t="str" cm="1">
        <f t="array" ref="H162:J162">_xlfn.XLOOKUP(C162,Products!A:A,Products!B:D)</f>
        <v>4K Monitor</v>
      </c>
      <c r="I162" t="str">
        <v>Electronics</v>
      </c>
      <c r="J162">
        <v>349.99</v>
      </c>
      <c r="K162">
        <f t="shared" si="3"/>
        <v>1399.96</v>
      </c>
      <c r="Q162" s="8"/>
    </row>
    <row r="163" spans="1:17" ht="14.25" customHeight="1" x14ac:dyDescent="0.3">
      <c r="A163" s="2" t="s">
        <v>211</v>
      </c>
      <c r="B163" s="2" t="s">
        <v>58</v>
      </c>
      <c r="C163" s="2" t="s">
        <v>43</v>
      </c>
      <c r="D163" s="2" t="s">
        <v>19</v>
      </c>
      <c r="E163" s="2" t="s">
        <v>24</v>
      </c>
      <c r="F163" s="2">
        <v>3</v>
      </c>
      <c r="G163" s="2" t="s">
        <v>21</v>
      </c>
      <c r="H163" t="str" cm="1">
        <f t="array" ref="H163:J163">_xlfn.XLOOKUP(C163,Products!A:A,Products!B:D)</f>
        <v>Bluetooth Speaker</v>
      </c>
      <c r="I163" t="str">
        <v>Accessories</v>
      </c>
      <c r="J163">
        <v>79.989999999999995</v>
      </c>
      <c r="K163">
        <f t="shared" si="3"/>
        <v>239.96999999999997</v>
      </c>
      <c r="Q163" s="8"/>
    </row>
    <row r="164" spans="1:17" ht="14.25" customHeight="1" x14ac:dyDescent="0.3">
      <c r="A164" s="2" t="s">
        <v>212</v>
      </c>
      <c r="B164" s="2" t="s">
        <v>58</v>
      </c>
      <c r="C164" s="2" t="s">
        <v>23</v>
      </c>
      <c r="D164" s="2" t="s">
        <v>37</v>
      </c>
      <c r="E164" s="2" t="s">
        <v>47</v>
      </c>
      <c r="F164" s="2">
        <v>1</v>
      </c>
      <c r="G164" s="2" t="s">
        <v>21</v>
      </c>
      <c r="H164" t="str" cm="1">
        <f t="array" ref="H164:J164">_xlfn.XLOOKUP(C164,Products!A:A,Products!B:D)</f>
        <v>4K Monitor</v>
      </c>
      <c r="I164" t="str">
        <v>Electronics</v>
      </c>
      <c r="J164">
        <v>349.99</v>
      </c>
      <c r="K164">
        <f t="shared" si="3"/>
        <v>349.99</v>
      </c>
      <c r="Q164" s="8"/>
    </row>
    <row r="165" spans="1:17" ht="14.25" customHeight="1" x14ac:dyDescent="0.3">
      <c r="A165" s="2" t="s">
        <v>213</v>
      </c>
      <c r="B165" s="2" t="s">
        <v>56</v>
      </c>
      <c r="C165" s="2" t="s">
        <v>43</v>
      </c>
      <c r="D165" s="2" t="s">
        <v>29</v>
      </c>
      <c r="E165" s="2" t="s">
        <v>24</v>
      </c>
      <c r="F165" s="2">
        <v>3</v>
      </c>
      <c r="G165" s="2" t="s">
        <v>25</v>
      </c>
      <c r="H165" t="str" cm="1">
        <f t="array" ref="H165:J165">_xlfn.XLOOKUP(C165,Products!A:A,Products!B:D)</f>
        <v>Bluetooth Speaker</v>
      </c>
      <c r="I165" t="str">
        <v>Accessories</v>
      </c>
      <c r="J165">
        <v>79.989999999999995</v>
      </c>
      <c r="K165">
        <f t="shared" si="3"/>
        <v>0</v>
      </c>
      <c r="Q165" s="8"/>
    </row>
    <row r="166" spans="1:17" ht="14.25" customHeight="1" x14ac:dyDescent="0.3">
      <c r="A166" s="2" t="s">
        <v>214</v>
      </c>
      <c r="B166" s="2" t="s">
        <v>27</v>
      </c>
      <c r="C166" s="2" t="s">
        <v>30</v>
      </c>
      <c r="D166" s="2" t="s">
        <v>29</v>
      </c>
      <c r="E166" s="2" t="s">
        <v>52</v>
      </c>
      <c r="F166" s="2">
        <v>2</v>
      </c>
      <c r="G166" s="2" t="s">
        <v>61</v>
      </c>
      <c r="H166" t="str" cm="1">
        <f t="array" ref="H166:J166">_xlfn.XLOOKUP(C166,Products!A:A,Products!B:D)</f>
        <v>Wireless Headphones</v>
      </c>
      <c r="I166" t="str">
        <v>Accessories</v>
      </c>
      <c r="J166">
        <v>149.99</v>
      </c>
      <c r="K166">
        <f t="shared" si="3"/>
        <v>299.98</v>
      </c>
      <c r="Q166" s="8"/>
    </row>
    <row r="167" spans="1:17" ht="14.25" customHeight="1" x14ac:dyDescent="0.3">
      <c r="A167" s="2" t="s">
        <v>215</v>
      </c>
      <c r="B167" s="2" t="s">
        <v>58</v>
      </c>
      <c r="C167" s="2" t="s">
        <v>38</v>
      </c>
      <c r="D167" s="2" t="s">
        <v>19</v>
      </c>
      <c r="E167" s="2" t="s">
        <v>47</v>
      </c>
      <c r="F167" s="2">
        <v>3</v>
      </c>
      <c r="G167" s="2" t="s">
        <v>21</v>
      </c>
      <c r="H167" t="str" cm="1">
        <f t="array" ref="H167:J167">_xlfn.XLOOKUP(C167,Products!A:A,Products!B:D)</f>
        <v>Gaming Mouse</v>
      </c>
      <c r="I167" t="str">
        <v>Accessories</v>
      </c>
      <c r="J167">
        <v>49.99</v>
      </c>
      <c r="K167">
        <f t="shared" si="3"/>
        <v>149.97</v>
      </c>
      <c r="Q167" s="8"/>
    </row>
    <row r="168" spans="1:17" ht="14.25" customHeight="1" x14ac:dyDescent="0.3">
      <c r="A168" s="2" t="s">
        <v>216</v>
      </c>
      <c r="B168" s="2" t="s">
        <v>58</v>
      </c>
      <c r="C168" s="2" t="s">
        <v>23</v>
      </c>
      <c r="D168" s="2" t="s">
        <v>60</v>
      </c>
      <c r="E168" s="2" t="s">
        <v>20</v>
      </c>
      <c r="F168" s="2">
        <v>2</v>
      </c>
      <c r="G168" s="2" t="s">
        <v>21</v>
      </c>
      <c r="H168" t="str" cm="1">
        <f t="array" ref="H168:J168">_xlfn.XLOOKUP(C168,Products!A:A,Products!B:D)</f>
        <v>4K Monitor</v>
      </c>
      <c r="I168" t="str">
        <v>Electronics</v>
      </c>
      <c r="J168">
        <v>349.99</v>
      </c>
      <c r="K168">
        <f t="shared" si="3"/>
        <v>699.98</v>
      </c>
      <c r="Q168" s="8"/>
    </row>
    <row r="169" spans="1:17" ht="14.25" customHeight="1" x14ac:dyDescent="0.3">
      <c r="A169" s="2" t="s">
        <v>217</v>
      </c>
      <c r="B169" s="2" t="s">
        <v>58</v>
      </c>
      <c r="C169" s="2" t="s">
        <v>30</v>
      </c>
      <c r="D169" s="2" t="s">
        <v>29</v>
      </c>
      <c r="E169" s="2" t="s">
        <v>24</v>
      </c>
      <c r="F169" s="2">
        <v>2</v>
      </c>
      <c r="G169" s="2" t="s">
        <v>21</v>
      </c>
      <c r="H169" t="str" cm="1">
        <f t="array" ref="H169:J169">_xlfn.XLOOKUP(C169,Products!A:A,Products!B:D)</f>
        <v>Wireless Headphones</v>
      </c>
      <c r="I169" t="str">
        <v>Accessories</v>
      </c>
      <c r="J169">
        <v>149.99</v>
      </c>
      <c r="K169">
        <f t="shared" si="3"/>
        <v>299.98</v>
      </c>
      <c r="Q169" s="8"/>
    </row>
    <row r="170" spans="1:17" ht="14.25" customHeight="1" x14ac:dyDescent="0.3">
      <c r="A170" s="2" t="s">
        <v>218</v>
      </c>
      <c r="B170" s="2" t="s">
        <v>27</v>
      </c>
      <c r="C170" s="2" t="s">
        <v>7</v>
      </c>
      <c r="D170" s="2" t="s">
        <v>29</v>
      </c>
      <c r="E170" s="2" t="s">
        <v>47</v>
      </c>
      <c r="F170" s="2">
        <v>5</v>
      </c>
      <c r="G170" s="2" t="s">
        <v>61</v>
      </c>
      <c r="H170" t="str" cm="1">
        <f t="array" ref="H170:J170">_xlfn.XLOOKUP(C170,Products!A:A,Products!B:D)</f>
        <v>Smartphone X</v>
      </c>
      <c r="I170" t="str">
        <v>Electronics</v>
      </c>
      <c r="J170">
        <v>999.99</v>
      </c>
      <c r="K170">
        <f t="shared" si="3"/>
        <v>4999.95</v>
      </c>
      <c r="Q170" s="8"/>
    </row>
    <row r="171" spans="1:17" ht="14.25" customHeight="1" x14ac:dyDescent="0.3">
      <c r="A171" s="2" t="s">
        <v>219</v>
      </c>
      <c r="B171" s="2" t="s">
        <v>17</v>
      </c>
      <c r="C171" s="2" t="s">
        <v>30</v>
      </c>
      <c r="D171" s="2" t="s">
        <v>29</v>
      </c>
      <c r="E171" s="2" t="s">
        <v>24</v>
      </c>
      <c r="F171" s="2">
        <v>5</v>
      </c>
      <c r="G171" s="2" t="s">
        <v>21</v>
      </c>
      <c r="H171" t="str" cm="1">
        <f t="array" ref="H171:J171">_xlfn.XLOOKUP(C171,Products!A:A,Products!B:D)</f>
        <v>Wireless Headphones</v>
      </c>
      <c r="I171" t="str">
        <v>Accessories</v>
      </c>
      <c r="J171">
        <v>149.99</v>
      </c>
      <c r="K171">
        <f t="shared" si="3"/>
        <v>749.95</v>
      </c>
      <c r="Q171" s="8"/>
    </row>
    <row r="172" spans="1:17" ht="14.25" customHeight="1" x14ac:dyDescent="0.3">
      <c r="A172" s="2" t="s">
        <v>220</v>
      </c>
      <c r="B172" s="2" t="s">
        <v>56</v>
      </c>
      <c r="C172" s="2" t="s">
        <v>46</v>
      </c>
      <c r="D172" s="2" t="s">
        <v>19</v>
      </c>
      <c r="E172" s="2" t="s">
        <v>47</v>
      </c>
      <c r="F172" s="2">
        <v>4</v>
      </c>
      <c r="G172" s="2" t="s">
        <v>61</v>
      </c>
      <c r="H172" t="str" cm="1">
        <f t="array" ref="H172:J172">_xlfn.XLOOKUP(C172,Products!A:A,Products!B:D)</f>
        <v>Ergonomic Chair</v>
      </c>
      <c r="I172" t="str">
        <v>Furniture</v>
      </c>
      <c r="J172">
        <v>249.99</v>
      </c>
      <c r="K172">
        <f t="shared" si="3"/>
        <v>999.96</v>
      </c>
      <c r="Q172" s="8"/>
    </row>
    <row r="173" spans="1:17" ht="14.25" customHeight="1" x14ac:dyDescent="0.3">
      <c r="A173" s="2" t="s">
        <v>221</v>
      </c>
      <c r="B173" s="2" t="s">
        <v>17</v>
      </c>
      <c r="C173" s="2" t="s">
        <v>46</v>
      </c>
      <c r="D173" s="2" t="s">
        <v>29</v>
      </c>
      <c r="E173" s="2" t="s">
        <v>52</v>
      </c>
      <c r="F173" s="2">
        <v>2</v>
      </c>
      <c r="G173" s="2" t="s">
        <v>21</v>
      </c>
      <c r="H173" t="str" cm="1">
        <f t="array" ref="H173:J173">_xlfn.XLOOKUP(C173,Products!A:A,Products!B:D)</f>
        <v>Ergonomic Chair</v>
      </c>
      <c r="I173" t="str">
        <v>Furniture</v>
      </c>
      <c r="J173">
        <v>249.99</v>
      </c>
      <c r="K173">
        <f t="shared" si="3"/>
        <v>499.98</v>
      </c>
      <c r="Q173" s="8"/>
    </row>
    <row r="174" spans="1:17" ht="14.25" customHeight="1" x14ac:dyDescent="0.3">
      <c r="A174" s="2" t="s">
        <v>222</v>
      </c>
      <c r="B174" s="2" t="s">
        <v>54</v>
      </c>
      <c r="C174" s="2" t="s">
        <v>38</v>
      </c>
      <c r="D174" s="2" t="s">
        <v>29</v>
      </c>
      <c r="E174" s="2" t="s">
        <v>52</v>
      </c>
      <c r="F174" s="2">
        <v>4</v>
      </c>
      <c r="G174" s="2" t="s">
        <v>25</v>
      </c>
      <c r="H174" t="str" cm="1">
        <f t="array" ref="H174:J174">_xlfn.XLOOKUP(C174,Products!A:A,Products!B:D)</f>
        <v>Gaming Mouse</v>
      </c>
      <c r="I174" t="str">
        <v>Accessories</v>
      </c>
      <c r="J174">
        <v>49.99</v>
      </c>
      <c r="K174">
        <f t="shared" si="3"/>
        <v>0</v>
      </c>
      <c r="Q174" s="8"/>
    </row>
    <row r="175" spans="1:17" ht="14.25" customHeight="1" x14ac:dyDescent="0.3">
      <c r="A175" s="2" t="s">
        <v>223</v>
      </c>
      <c r="B175" s="2" t="s">
        <v>17</v>
      </c>
      <c r="C175" s="2" t="s">
        <v>46</v>
      </c>
      <c r="D175" s="2" t="s">
        <v>37</v>
      </c>
      <c r="E175" s="2" t="s">
        <v>24</v>
      </c>
      <c r="F175" s="2">
        <v>1</v>
      </c>
      <c r="G175" s="2" t="s">
        <v>21</v>
      </c>
      <c r="H175" t="str" cm="1">
        <f t="array" ref="H175:J175">_xlfn.XLOOKUP(C175,Products!A:A,Products!B:D)</f>
        <v>Ergonomic Chair</v>
      </c>
      <c r="I175" t="str">
        <v>Furniture</v>
      </c>
      <c r="J175">
        <v>249.99</v>
      </c>
      <c r="K175">
        <f t="shared" si="3"/>
        <v>249.99</v>
      </c>
      <c r="Q175" s="8"/>
    </row>
    <row r="176" spans="1:17" ht="14.25" customHeight="1" x14ac:dyDescent="0.3">
      <c r="A176" s="2" t="s">
        <v>224</v>
      </c>
      <c r="B176" s="2" t="s">
        <v>17</v>
      </c>
      <c r="C176" s="2" t="s">
        <v>23</v>
      </c>
      <c r="D176" s="2" t="s">
        <v>37</v>
      </c>
      <c r="E176" s="2" t="s">
        <v>20</v>
      </c>
      <c r="F176" s="2">
        <v>3</v>
      </c>
      <c r="G176" s="2" t="s">
        <v>21</v>
      </c>
      <c r="H176" t="str" cm="1">
        <f t="array" ref="H176:J176">_xlfn.XLOOKUP(C176,Products!A:A,Products!B:D)</f>
        <v>4K Monitor</v>
      </c>
      <c r="I176" t="str">
        <v>Electronics</v>
      </c>
      <c r="J176">
        <v>349.99</v>
      </c>
      <c r="K176">
        <f t="shared" si="3"/>
        <v>1049.97</v>
      </c>
      <c r="Q176" s="8"/>
    </row>
    <row r="177" spans="1:17" ht="14.25" customHeight="1" x14ac:dyDescent="0.3">
      <c r="A177" s="2" t="s">
        <v>225</v>
      </c>
      <c r="B177" s="2" t="s">
        <v>56</v>
      </c>
      <c r="C177" s="2" t="s">
        <v>30</v>
      </c>
      <c r="D177" s="2" t="s">
        <v>60</v>
      </c>
      <c r="E177" s="2" t="s">
        <v>20</v>
      </c>
      <c r="F177" s="2">
        <v>4</v>
      </c>
      <c r="G177" s="2" t="s">
        <v>21</v>
      </c>
      <c r="H177" t="str" cm="1">
        <f t="array" ref="H177:J177">_xlfn.XLOOKUP(C177,Products!A:A,Products!B:D)</f>
        <v>Wireless Headphones</v>
      </c>
      <c r="I177" t="str">
        <v>Accessories</v>
      </c>
      <c r="J177">
        <v>149.99</v>
      </c>
      <c r="K177">
        <f t="shared" si="3"/>
        <v>599.96</v>
      </c>
      <c r="Q177" s="8"/>
    </row>
    <row r="178" spans="1:17" ht="14.25" customHeight="1" x14ac:dyDescent="0.3">
      <c r="A178" s="2" t="s">
        <v>226</v>
      </c>
      <c r="B178" s="2" t="s">
        <v>54</v>
      </c>
      <c r="C178" s="2" t="s">
        <v>23</v>
      </c>
      <c r="D178" s="2" t="s">
        <v>19</v>
      </c>
      <c r="E178" s="2" t="s">
        <v>52</v>
      </c>
      <c r="F178" s="2">
        <v>3</v>
      </c>
      <c r="G178" s="2" t="s">
        <v>21</v>
      </c>
      <c r="H178" t="str" cm="1">
        <f t="array" ref="H178:J178">_xlfn.XLOOKUP(C178,Products!A:A,Products!B:D)</f>
        <v>4K Monitor</v>
      </c>
      <c r="I178" t="str">
        <v>Electronics</v>
      </c>
      <c r="J178">
        <v>349.99</v>
      </c>
      <c r="K178">
        <f t="shared" si="3"/>
        <v>1049.97</v>
      </c>
      <c r="Q178" s="8"/>
    </row>
    <row r="179" spans="1:17" ht="14.25" customHeight="1" x14ac:dyDescent="0.3">
      <c r="A179" s="2" t="s">
        <v>227</v>
      </c>
      <c r="B179" s="2" t="s">
        <v>34</v>
      </c>
      <c r="C179" s="2" t="s">
        <v>30</v>
      </c>
      <c r="D179" s="2" t="s">
        <v>60</v>
      </c>
      <c r="E179" s="2" t="s">
        <v>52</v>
      </c>
      <c r="F179" s="2">
        <v>3</v>
      </c>
      <c r="G179" s="2" t="s">
        <v>21</v>
      </c>
      <c r="H179" t="str" cm="1">
        <f t="array" ref="H179:J179">_xlfn.XLOOKUP(C179,Products!A:A,Products!B:D)</f>
        <v>Wireless Headphones</v>
      </c>
      <c r="I179" t="str">
        <v>Accessories</v>
      </c>
      <c r="J179">
        <v>149.99</v>
      </c>
      <c r="K179">
        <f t="shared" si="3"/>
        <v>449.97</v>
      </c>
      <c r="Q179" s="8"/>
    </row>
    <row r="180" spans="1:17" ht="14.25" customHeight="1" x14ac:dyDescent="0.3">
      <c r="A180" s="2" t="s">
        <v>228</v>
      </c>
      <c r="B180" s="2" t="s">
        <v>56</v>
      </c>
      <c r="C180" s="2" t="s">
        <v>7</v>
      </c>
      <c r="D180" s="2" t="s">
        <v>37</v>
      </c>
      <c r="E180" s="2" t="s">
        <v>52</v>
      </c>
      <c r="F180" s="2">
        <v>4</v>
      </c>
      <c r="G180" s="2" t="s">
        <v>21</v>
      </c>
      <c r="H180" t="str" cm="1">
        <f t="array" ref="H180:J180">_xlfn.XLOOKUP(C180,Products!A:A,Products!B:D)</f>
        <v>Smartphone X</v>
      </c>
      <c r="I180" t="str">
        <v>Electronics</v>
      </c>
      <c r="J180">
        <v>999.99</v>
      </c>
      <c r="K180">
        <f t="shared" si="3"/>
        <v>3999.96</v>
      </c>
      <c r="Q180" s="8"/>
    </row>
    <row r="181" spans="1:17" ht="14.25" customHeight="1" x14ac:dyDescent="0.3">
      <c r="A181" s="2" t="s">
        <v>229</v>
      </c>
      <c r="B181" s="2" t="s">
        <v>58</v>
      </c>
      <c r="C181" s="2" t="s">
        <v>43</v>
      </c>
      <c r="D181" s="2" t="s">
        <v>29</v>
      </c>
      <c r="E181" s="2" t="s">
        <v>24</v>
      </c>
      <c r="F181" s="2">
        <v>4</v>
      </c>
      <c r="G181" s="2" t="s">
        <v>61</v>
      </c>
      <c r="H181" t="str" cm="1">
        <f t="array" ref="H181:J181">_xlfn.XLOOKUP(C181,Products!A:A,Products!B:D)</f>
        <v>Bluetooth Speaker</v>
      </c>
      <c r="I181" t="str">
        <v>Accessories</v>
      </c>
      <c r="J181">
        <v>79.989999999999995</v>
      </c>
      <c r="K181">
        <f t="shared" si="3"/>
        <v>319.95999999999998</v>
      </c>
      <c r="Q181" s="8"/>
    </row>
    <row r="182" spans="1:17" ht="14.25" customHeight="1" x14ac:dyDescent="0.3">
      <c r="A182" s="2" t="s">
        <v>230</v>
      </c>
      <c r="B182" s="2" t="s">
        <v>56</v>
      </c>
      <c r="C182" s="2" t="s">
        <v>30</v>
      </c>
      <c r="D182" s="2" t="s">
        <v>19</v>
      </c>
      <c r="E182" s="2" t="s">
        <v>47</v>
      </c>
      <c r="F182" s="2">
        <v>1</v>
      </c>
      <c r="G182" s="2" t="s">
        <v>21</v>
      </c>
      <c r="H182" t="str" cm="1">
        <f t="array" ref="H182:J182">_xlfn.XLOOKUP(C182,Products!A:A,Products!B:D)</f>
        <v>Wireless Headphones</v>
      </c>
      <c r="I182" t="str">
        <v>Accessories</v>
      </c>
      <c r="J182">
        <v>149.99</v>
      </c>
      <c r="K182">
        <f t="shared" si="3"/>
        <v>149.99</v>
      </c>
      <c r="Q182" s="8"/>
    </row>
    <row r="183" spans="1:17" ht="14.25" customHeight="1" x14ac:dyDescent="0.3">
      <c r="A183" s="2" t="s">
        <v>231</v>
      </c>
      <c r="B183" s="2" t="s">
        <v>17</v>
      </c>
      <c r="C183" s="2" t="s">
        <v>46</v>
      </c>
      <c r="D183" s="2" t="s">
        <v>41</v>
      </c>
      <c r="E183" s="2" t="s">
        <v>20</v>
      </c>
      <c r="F183" s="2">
        <v>2</v>
      </c>
      <c r="G183" s="2" t="s">
        <v>25</v>
      </c>
      <c r="H183" t="str" cm="1">
        <f t="array" ref="H183:J183">_xlfn.XLOOKUP(C183,Products!A:A,Products!B:D)</f>
        <v>Ergonomic Chair</v>
      </c>
      <c r="I183" t="str">
        <v>Furniture</v>
      </c>
      <c r="J183">
        <v>249.99</v>
      </c>
      <c r="K183">
        <f t="shared" si="3"/>
        <v>0</v>
      </c>
      <c r="Q183" s="8"/>
    </row>
    <row r="184" spans="1:17" ht="14.25" customHeight="1" x14ac:dyDescent="0.3">
      <c r="A184" s="2" t="s">
        <v>232</v>
      </c>
      <c r="B184" s="2" t="s">
        <v>34</v>
      </c>
      <c r="C184" s="2" t="s">
        <v>35</v>
      </c>
      <c r="D184" s="2" t="s">
        <v>37</v>
      </c>
      <c r="E184" s="2" t="s">
        <v>52</v>
      </c>
      <c r="F184" s="2">
        <v>1</v>
      </c>
      <c r="G184" s="2" t="s">
        <v>21</v>
      </c>
      <c r="H184" t="str" cm="1">
        <f t="array" ref="H184:J184">_xlfn.XLOOKUP(C184,Products!A:A,Products!B:D)</f>
        <v>Mechanical Keyboard</v>
      </c>
      <c r="I184" t="str">
        <v>Accessories</v>
      </c>
      <c r="J184">
        <v>89.99</v>
      </c>
      <c r="K184">
        <f t="shared" si="3"/>
        <v>89.99</v>
      </c>
      <c r="Q184" s="8"/>
    </row>
    <row r="185" spans="1:17" ht="14.25" customHeight="1" x14ac:dyDescent="0.3">
      <c r="A185" s="2" t="s">
        <v>233</v>
      </c>
      <c r="B185" s="2" t="s">
        <v>27</v>
      </c>
      <c r="C185" s="2" t="s">
        <v>18</v>
      </c>
      <c r="D185" s="2" t="s">
        <v>29</v>
      </c>
      <c r="E185" s="2" t="s">
        <v>47</v>
      </c>
      <c r="F185" s="2">
        <v>3</v>
      </c>
      <c r="G185" s="2" t="s">
        <v>21</v>
      </c>
      <c r="H185" t="str" cm="1">
        <f t="array" ref="H185:J185">_xlfn.XLOOKUP(C185,Products!A:A,Products!B:D)</f>
        <v>Tablet Air</v>
      </c>
      <c r="I185" t="str">
        <v>Electronics</v>
      </c>
      <c r="J185">
        <v>499.99</v>
      </c>
      <c r="K185">
        <f t="shared" si="3"/>
        <v>1499.97</v>
      </c>
      <c r="Q185" s="8"/>
    </row>
    <row r="186" spans="1:17" ht="14.25" customHeight="1" x14ac:dyDescent="0.3">
      <c r="A186" s="2" t="s">
        <v>234</v>
      </c>
      <c r="B186" s="2" t="s">
        <v>56</v>
      </c>
      <c r="C186" s="2" t="s">
        <v>43</v>
      </c>
      <c r="D186" s="2" t="s">
        <v>37</v>
      </c>
      <c r="E186" s="2" t="s">
        <v>47</v>
      </c>
      <c r="F186" s="2">
        <v>4</v>
      </c>
      <c r="G186" s="2" t="s">
        <v>21</v>
      </c>
      <c r="H186" t="str" cm="1">
        <f t="array" ref="H186:J186">_xlfn.XLOOKUP(C186,Products!A:A,Products!B:D)</f>
        <v>Bluetooth Speaker</v>
      </c>
      <c r="I186" t="str">
        <v>Accessories</v>
      </c>
      <c r="J186">
        <v>79.989999999999995</v>
      </c>
      <c r="K186">
        <f t="shared" si="3"/>
        <v>319.95999999999998</v>
      </c>
      <c r="Q186" s="8"/>
    </row>
    <row r="187" spans="1:17" ht="14.25" customHeight="1" x14ac:dyDescent="0.3">
      <c r="A187" s="2" t="s">
        <v>235</v>
      </c>
      <c r="B187" s="2" t="s">
        <v>17</v>
      </c>
      <c r="C187" s="2" t="s">
        <v>23</v>
      </c>
      <c r="D187" s="2" t="s">
        <v>37</v>
      </c>
      <c r="E187" s="2" t="s">
        <v>24</v>
      </c>
      <c r="F187" s="2">
        <v>5</v>
      </c>
      <c r="G187" s="2" t="s">
        <v>21</v>
      </c>
      <c r="H187" t="str" cm="1">
        <f t="array" ref="H187:J187">_xlfn.XLOOKUP(C187,Products!A:A,Products!B:D)</f>
        <v>4K Monitor</v>
      </c>
      <c r="I187" t="str">
        <v>Electronics</v>
      </c>
      <c r="J187">
        <v>349.99</v>
      </c>
      <c r="K187">
        <f t="shared" si="3"/>
        <v>1749.95</v>
      </c>
      <c r="Q187" s="8"/>
    </row>
    <row r="188" spans="1:17" ht="14.25" customHeight="1" x14ac:dyDescent="0.3">
      <c r="A188" s="2" t="s">
        <v>236</v>
      </c>
      <c r="B188" s="2" t="s">
        <v>56</v>
      </c>
      <c r="C188" s="2" t="s">
        <v>43</v>
      </c>
      <c r="D188" s="2" t="s">
        <v>41</v>
      </c>
      <c r="E188" s="2" t="s">
        <v>52</v>
      </c>
      <c r="F188" s="2">
        <v>1</v>
      </c>
      <c r="G188" s="2" t="s">
        <v>21</v>
      </c>
      <c r="H188" t="str" cm="1">
        <f t="array" ref="H188:J188">_xlfn.XLOOKUP(C188,Products!A:A,Products!B:D)</f>
        <v>Bluetooth Speaker</v>
      </c>
      <c r="I188" t="str">
        <v>Accessories</v>
      </c>
      <c r="J188">
        <v>79.989999999999995</v>
      </c>
      <c r="K188">
        <f t="shared" si="3"/>
        <v>79.989999999999995</v>
      </c>
      <c r="Q188" s="8"/>
    </row>
    <row r="189" spans="1:17" ht="14.25" customHeight="1" x14ac:dyDescent="0.3">
      <c r="A189" s="2" t="s">
        <v>237</v>
      </c>
      <c r="B189" s="2" t="s">
        <v>17</v>
      </c>
      <c r="C189" s="2" t="s">
        <v>23</v>
      </c>
      <c r="D189" s="2" t="s">
        <v>41</v>
      </c>
      <c r="E189" s="2" t="s">
        <v>24</v>
      </c>
      <c r="F189" s="2">
        <v>1</v>
      </c>
      <c r="G189" s="2" t="s">
        <v>21</v>
      </c>
      <c r="H189" t="str" cm="1">
        <f t="array" ref="H189:J189">_xlfn.XLOOKUP(C189,Products!A:A,Products!B:D)</f>
        <v>4K Monitor</v>
      </c>
      <c r="I189" t="str">
        <v>Electronics</v>
      </c>
      <c r="J189">
        <v>349.99</v>
      </c>
      <c r="K189">
        <f t="shared" si="3"/>
        <v>349.99</v>
      </c>
      <c r="Q189" s="8"/>
    </row>
    <row r="190" spans="1:17" ht="14.25" customHeight="1" x14ac:dyDescent="0.3">
      <c r="A190" s="2" t="s">
        <v>238</v>
      </c>
      <c r="B190" s="2" t="s">
        <v>58</v>
      </c>
      <c r="C190" s="2" t="s">
        <v>23</v>
      </c>
      <c r="D190" s="2" t="s">
        <v>29</v>
      </c>
      <c r="E190" s="2" t="s">
        <v>20</v>
      </c>
      <c r="F190" s="2">
        <v>5</v>
      </c>
      <c r="G190" s="2" t="s">
        <v>21</v>
      </c>
      <c r="H190" t="str" cm="1">
        <f t="array" ref="H190:J190">_xlfn.XLOOKUP(C190,Products!A:A,Products!B:D)</f>
        <v>4K Monitor</v>
      </c>
      <c r="I190" t="str">
        <v>Electronics</v>
      </c>
      <c r="J190">
        <v>349.99</v>
      </c>
      <c r="K190">
        <f t="shared" si="3"/>
        <v>1749.95</v>
      </c>
      <c r="Q190" s="8"/>
    </row>
    <row r="191" spans="1:17" ht="14.25" customHeight="1" x14ac:dyDescent="0.3">
      <c r="A191" s="2" t="s">
        <v>239</v>
      </c>
      <c r="B191" s="2" t="s">
        <v>34</v>
      </c>
      <c r="C191" s="2" t="s">
        <v>35</v>
      </c>
      <c r="D191" s="2" t="s">
        <v>37</v>
      </c>
      <c r="E191" s="2" t="s">
        <v>24</v>
      </c>
      <c r="F191" s="2">
        <v>1</v>
      </c>
      <c r="G191" s="2" t="s">
        <v>61</v>
      </c>
      <c r="H191" t="str" cm="1">
        <f t="array" ref="H191:J191">_xlfn.XLOOKUP(C191,Products!A:A,Products!B:D)</f>
        <v>Mechanical Keyboard</v>
      </c>
      <c r="I191" t="str">
        <v>Accessories</v>
      </c>
      <c r="J191">
        <v>89.99</v>
      </c>
      <c r="K191">
        <f t="shared" si="3"/>
        <v>89.99</v>
      </c>
      <c r="Q191" s="8"/>
    </row>
    <row r="192" spans="1:17" ht="14.25" customHeight="1" x14ac:dyDescent="0.3">
      <c r="A192" s="2" t="s">
        <v>240</v>
      </c>
      <c r="B192" s="2" t="s">
        <v>27</v>
      </c>
      <c r="C192" s="2" t="s">
        <v>18</v>
      </c>
      <c r="D192" s="2" t="s">
        <v>29</v>
      </c>
      <c r="E192" s="2" t="s">
        <v>20</v>
      </c>
      <c r="F192" s="2">
        <v>3</v>
      </c>
      <c r="G192" s="2" t="s">
        <v>61</v>
      </c>
      <c r="H192" t="str" cm="1">
        <f t="array" ref="H192:J192">_xlfn.XLOOKUP(C192,Products!A:A,Products!B:D)</f>
        <v>Tablet Air</v>
      </c>
      <c r="I192" t="str">
        <v>Electronics</v>
      </c>
      <c r="J192">
        <v>499.99</v>
      </c>
      <c r="K192">
        <f t="shared" si="3"/>
        <v>1499.97</v>
      </c>
      <c r="Q192" s="8"/>
    </row>
    <row r="193" spans="1:17" ht="14.25" customHeight="1" x14ac:dyDescent="0.3">
      <c r="A193" s="2" t="s">
        <v>241</v>
      </c>
      <c r="B193" s="2" t="s">
        <v>56</v>
      </c>
      <c r="C193" s="2" t="s">
        <v>18</v>
      </c>
      <c r="D193" s="2" t="s">
        <v>60</v>
      </c>
      <c r="E193" s="2" t="s">
        <v>24</v>
      </c>
      <c r="F193" s="2">
        <v>4</v>
      </c>
      <c r="G193" s="2" t="s">
        <v>21</v>
      </c>
      <c r="H193" t="str" cm="1">
        <f t="array" ref="H193:J193">_xlfn.XLOOKUP(C193,Products!A:A,Products!B:D)</f>
        <v>Tablet Air</v>
      </c>
      <c r="I193" t="str">
        <v>Electronics</v>
      </c>
      <c r="J193">
        <v>499.99</v>
      </c>
      <c r="K193">
        <f t="shared" si="3"/>
        <v>1999.96</v>
      </c>
      <c r="Q193" s="8"/>
    </row>
    <row r="194" spans="1:17" ht="14.25" customHeight="1" x14ac:dyDescent="0.3">
      <c r="A194" s="2" t="s">
        <v>242</v>
      </c>
      <c r="B194" s="2" t="s">
        <v>17</v>
      </c>
      <c r="C194" s="2" t="s">
        <v>35</v>
      </c>
      <c r="D194" s="2" t="s">
        <v>29</v>
      </c>
      <c r="E194" s="2" t="s">
        <v>20</v>
      </c>
      <c r="F194" s="2">
        <v>1</v>
      </c>
      <c r="G194" s="2" t="s">
        <v>21</v>
      </c>
      <c r="H194" t="str" cm="1">
        <f t="array" ref="H194:J194">_xlfn.XLOOKUP(C194,Products!A:A,Products!B:D)</f>
        <v>Mechanical Keyboard</v>
      </c>
      <c r="I194" t="str">
        <v>Accessories</v>
      </c>
      <c r="J194">
        <v>89.99</v>
      </c>
      <c r="K194">
        <f t="shared" si="3"/>
        <v>89.99</v>
      </c>
      <c r="Q194" s="8"/>
    </row>
    <row r="195" spans="1:17" ht="14.25" customHeight="1" x14ac:dyDescent="0.3">
      <c r="A195" s="2" t="s">
        <v>243</v>
      </c>
      <c r="B195" s="2" t="s">
        <v>58</v>
      </c>
      <c r="C195" s="2" t="s">
        <v>35</v>
      </c>
      <c r="D195" s="2" t="s">
        <v>29</v>
      </c>
      <c r="E195" s="2" t="s">
        <v>24</v>
      </c>
      <c r="F195" s="2">
        <v>2</v>
      </c>
      <c r="G195" s="2" t="s">
        <v>21</v>
      </c>
      <c r="H195" t="str" cm="1">
        <f t="array" ref="H195:J195">_xlfn.XLOOKUP(C195,Products!A:A,Products!B:D)</f>
        <v>Mechanical Keyboard</v>
      </c>
      <c r="I195" t="str">
        <v>Accessories</v>
      </c>
      <c r="J195">
        <v>89.99</v>
      </c>
      <c r="K195">
        <f t="shared" ref="K195:K258" si="4">IF(G195="Cancelled", 0, F195*J195)</f>
        <v>179.98</v>
      </c>
      <c r="Q195" s="8"/>
    </row>
    <row r="196" spans="1:17" ht="14.25" customHeight="1" x14ac:dyDescent="0.3">
      <c r="A196" s="2" t="s">
        <v>244</v>
      </c>
      <c r="B196" s="2" t="s">
        <v>58</v>
      </c>
      <c r="C196" s="2" t="s">
        <v>43</v>
      </c>
      <c r="D196" s="2" t="s">
        <v>29</v>
      </c>
      <c r="E196" s="2" t="s">
        <v>47</v>
      </c>
      <c r="F196" s="2">
        <v>2</v>
      </c>
      <c r="G196" s="2" t="s">
        <v>21</v>
      </c>
      <c r="H196" t="str" cm="1">
        <f t="array" ref="H196:J196">_xlfn.XLOOKUP(C196,Products!A:A,Products!B:D)</f>
        <v>Bluetooth Speaker</v>
      </c>
      <c r="I196" t="str">
        <v>Accessories</v>
      </c>
      <c r="J196">
        <v>79.989999999999995</v>
      </c>
      <c r="K196">
        <f t="shared" si="4"/>
        <v>159.97999999999999</v>
      </c>
      <c r="Q196" s="8"/>
    </row>
    <row r="197" spans="1:17" ht="14.25" customHeight="1" x14ac:dyDescent="0.3">
      <c r="A197" s="2" t="s">
        <v>245</v>
      </c>
      <c r="B197" s="2" t="s">
        <v>34</v>
      </c>
      <c r="C197" s="2" t="s">
        <v>30</v>
      </c>
      <c r="D197" s="2" t="s">
        <v>37</v>
      </c>
      <c r="E197" s="2" t="s">
        <v>52</v>
      </c>
      <c r="F197" s="2">
        <v>2</v>
      </c>
      <c r="G197" s="2" t="s">
        <v>61</v>
      </c>
      <c r="H197" t="str" cm="1">
        <f t="array" ref="H197:J197">_xlfn.XLOOKUP(C197,Products!A:A,Products!B:D)</f>
        <v>Wireless Headphones</v>
      </c>
      <c r="I197" t="str">
        <v>Accessories</v>
      </c>
      <c r="J197">
        <v>149.99</v>
      </c>
      <c r="K197">
        <f t="shared" si="4"/>
        <v>299.98</v>
      </c>
      <c r="Q197" s="8"/>
    </row>
    <row r="198" spans="1:17" ht="14.25" customHeight="1" x14ac:dyDescent="0.3">
      <c r="A198" s="2" t="s">
        <v>246</v>
      </c>
      <c r="B198" s="2" t="s">
        <v>34</v>
      </c>
      <c r="C198" s="2" t="s">
        <v>35</v>
      </c>
      <c r="D198" s="2" t="s">
        <v>41</v>
      </c>
      <c r="E198" s="2" t="s">
        <v>47</v>
      </c>
      <c r="F198" s="2">
        <v>1</v>
      </c>
      <c r="G198" s="2" t="s">
        <v>21</v>
      </c>
      <c r="H198" t="str" cm="1">
        <f t="array" ref="H198:J198">_xlfn.XLOOKUP(C198,Products!A:A,Products!B:D)</f>
        <v>Mechanical Keyboard</v>
      </c>
      <c r="I198" t="str">
        <v>Accessories</v>
      </c>
      <c r="J198">
        <v>89.99</v>
      </c>
      <c r="K198">
        <f t="shared" si="4"/>
        <v>89.99</v>
      </c>
      <c r="Q198" s="8"/>
    </row>
    <row r="199" spans="1:17" ht="14.25" customHeight="1" x14ac:dyDescent="0.3">
      <c r="A199" s="2" t="s">
        <v>247</v>
      </c>
      <c r="B199" s="2" t="s">
        <v>58</v>
      </c>
      <c r="C199" s="2" t="s">
        <v>43</v>
      </c>
      <c r="D199" s="2" t="s">
        <v>29</v>
      </c>
      <c r="E199" s="2" t="s">
        <v>24</v>
      </c>
      <c r="F199" s="2">
        <v>1</v>
      </c>
      <c r="G199" s="2" t="s">
        <v>25</v>
      </c>
      <c r="H199" t="str" cm="1">
        <f t="array" ref="H199:J199">_xlfn.XLOOKUP(C199,Products!A:A,Products!B:D)</f>
        <v>Bluetooth Speaker</v>
      </c>
      <c r="I199" t="str">
        <v>Accessories</v>
      </c>
      <c r="J199">
        <v>79.989999999999995</v>
      </c>
      <c r="K199">
        <f t="shared" si="4"/>
        <v>0</v>
      </c>
      <c r="Q199" s="8"/>
    </row>
    <row r="200" spans="1:17" ht="14.25" customHeight="1" x14ac:dyDescent="0.3">
      <c r="A200" s="2" t="s">
        <v>248</v>
      </c>
      <c r="B200" s="2" t="s">
        <v>58</v>
      </c>
      <c r="C200" s="2" t="s">
        <v>35</v>
      </c>
      <c r="D200" s="2" t="s">
        <v>37</v>
      </c>
      <c r="E200" s="2" t="s">
        <v>52</v>
      </c>
      <c r="F200" s="2">
        <v>4</v>
      </c>
      <c r="G200" s="2" t="s">
        <v>25</v>
      </c>
      <c r="H200" t="str" cm="1">
        <f t="array" ref="H200:J200">_xlfn.XLOOKUP(C200,Products!A:A,Products!B:D)</f>
        <v>Mechanical Keyboard</v>
      </c>
      <c r="I200" t="str">
        <v>Accessories</v>
      </c>
      <c r="J200">
        <v>89.99</v>
      </c>
      <c r="K200">
        <f t="shared" si="4"/>
        <v>0</v>
      </c>
      <c r="Q200" s="8"/>
    </row>
    <row r="201" spans="1:17" ht="14.25" customHeight="1" x14ac:dyDescent="0.3">
      <c r="A201" s="2" t="s">
        <v>249</v>
      </c>
      <c r="B201" s="2" t="s">
        <v>17</v>
      </c>
      <c r="C201" s="2" t="s">
        <v>23</v>
      </c>
      <c r="D201" s="2" t="s">
        <v>19</v>
      </c>
      <c r="E201" s="2" t="s">
        <v>47</v>
      </c>
      <c r="F201" s="2">
        <v>1</v>
      </c>
      <c r="G201" s="2" t="s">
        <v>21</v>
      </c>
      <c r="H201" t="str" cm="1">
        <f t="array" ref="H201:J201">_xlfn.XLOOKUP(C201,Products!A:A,Products!B:D)</f>
        <v>4K Monitor</v>
      </c>
      <c r="I201" t="str">
        <v>Electronics</v>
      </c>
      <c r="J201">
        <v>349.99</v>
      </c>
      <c r="K201">
        <f t="shared" si="4"/>
        <v>349.99</v>
      </c>
      <c r="Q201" s="8"/>
    </row>
    <row r="202" spans="1:17" ht="14.25" customHeight="1" x14ac:dyDescent="0.3">
      <c r="A202" s="2" t="s">
        <v>250</v>
      </c>
      <c r="B202" s="2" t="s">
        <v>27</v>
      </c>
      <c r="C202" s="2" t="s">
        <v>18</v>
      </c>
      <c r="D202" s="2" t="s">
        <v>29</v>
      </c>
      <c r="E202" s="2" t="s">
        <v>20</v>
      </c>
      <c r="F202" s="2">
        <v>1</v>
      </c>
      <c r="G202" s="2" t="s">
        <v>21</v>
      </c>
      <c r="H202" t="str" cm="1">
        <f t="array" ref="H202:J202">_xlfn.XLOOKUP(C202,Products!A:A,Products!B:D)</f>
        <v>Tablet Air</v>
      </c>
      <c r="I202" t="str">
        <v>Electronics</v>
      </c>
      <c r="J202">
        <v>499.99</v>
      </c>
      <c r="K202">
        <f t="shared" si="4"/>
        <v>499.99</v>
      </c>
      <c r="Q202" s="8"/>
    </row>
    <row r="203" spans="1:17" ht="14.25" customHeight="1" x14ac:dyDescent="0.3">
      <c r="A203" s="2" t="s">
        <v>251</v>
      </c>
      <c r="B203" s="2" t="s">
        <v>17</v>
      </c>
      <c r="C203" s="2" t="s">
        <v>30</v>
      </c>
      <c r="D203" s="2" t="s">
        <v>60</v>
      </c>
      <c r="E203" s="2" t="s">
        <v>47</v>
      </c>
      <c r="F203" s="2">
        <v>1</v>
      </c>
      <c r="G203" s="2" t="s">
        <v>61</v>
      </c>
      <c r="H203" t="str" cm="1">
        <f t="array" ref="H203:J203">_xlfn.XLOOKUP(C203,Products!A:A,Products!B:D)</f>
        <v>Wireless Headphones</v>
      </c>
      <c r="I203" t="str">
        <v>Accessories</v>
      </c>
      <c r="J203">
        <v>149.99</v>
      </c>
      <c r="K203">
        <f t="shared" si="4"/>
        <v>149.99</v>
      </c>
      <c r="Q203" s="8"/>
    </row>
    <row r="204" spans="1:17" ht="14.25" customHeight="1" x14ac:dyDescent="0.3">
      <c r="A204" s="2" t="s">
        <v>252</v>
      </c>
      <c r="B204" s="2" t="s">
        <v>56</v>
      </c>
      <c r="C204" s="2" t="s">
        <v>7</v>
      </c>
      <c r="D204" s="2" t="s">
        <v>41</v>
      </c>
      <c r="E204" s="2" t="s">
        <v>24</v>
      </c>
      <c r="F204" s="2">
        <v>1</v>
      </c>
      <c r="G204" s="2" t="s">
        <v>25</v>
      </c>
      <c r="H204" t="str" cm="1">
        <f t="array" ref="H204:J204">_xlfn.XLOOKUP(C204,Products!A:A,Products!B:D)</f>
        <v>Smartphone X</v>
      </c>
      <c r="I204" t="str">
        <v>Electronics</v>
      </c>
      <c r="J204">
        <v>999.99</v>
      </c>
      <c r="K204">
        <f t="shared" si="4"/>
        <v>0</v>
      </c>
      <c r="Q204" s="8"/>
    </row>
    <row r="205" spans="1:17" ht="14.25" customHeight="1" x14ac:dyDescent="0.3">
      <c r="A205" s="2" t="s">
        <v>253</v>
      </c>
      <c r="B205" s="2" t="s">
        <v>27</v>
      </c>
      <c r="C205" s="2" t="s">
        <v>7</v>
      </c>
      <c r="D205" s="2" t="s">
        <v>41</v>
      </c>
      <c r="E205" s="2" t="s">
        <v>20</v>
      </c>
      <c r="F205" s="2">
        <v>5</v>
      </c>
      <c r="G205" s="2" t="s">
        <v>21</v>
      </c>
      <c r="H205" t="str" cm="1">
        <f t="array" ref="H205:J205">_xlfn.XLOOKUP(C205,Products!A:A,Products!B:D)</f>
        <v>Smartphone X</v>
      </c>
      <c r="I205" t="str">
        <v>Electronics</v>
      </c>
      <c r="J205">
        <v>999.99</v>
      </c>
      <c r="K205">
        <f t="shared" si="4"/>
        <v>4999.95</v>
      </c>
      <c r="Q205" s="8"/>
    </row>
    <row r="206" spans="1:17" ht="14.25" customHeight="1" x14ac:dyDescent="0.3">
      <c r="A206" s="2" t="s">
        <v>254</v>
      </c>
      <c r="B206" s="2" t="s">
        <v>56</v>
      </c>
      <c r="C206" s="2" t="s">
        <v>18</v>
      </c>
      <c r="D206" s="2" t="s">
        <v>60</v>
      </c>
      <c r="E206" s="2" t="s">
        <v>52</v>
      </c>
      <c r="F206" s="2">
        <v>1</v>
      </c>
      <c r="G206" s="2" t="s">
        <v>21</v>
      </c>
      <c r="H206" t="str" cm="1">
        <f t="array" ref="H206:J206">_xlfn.XLOOKUP(C206,Products!A:A,Products!B:D)</f>
        <v>Tablet Air</v>
      </c>
      <c r="I206" t="str">
        <v>Electronics</v>
      </c>
      <c r="J206">
        <v>499.99</v>
      </c>
      <c r="K206">
        <f t="shared" si="4"/>
        <v>499.99</v>
      </c>
      <c r="Q206" s="8"/>
    </row>
    <row r="207" spans="1:17" ht="14.25" customHeight="1" x14ac:dyDescent="0.3">
      <c r="A207" s="2" t="s">
        <v>255</v>
      </c>
      <c r="B207" s="2" t="s">
        <v>54</v>
      </c>
      <c r="C207" s="2" t="s">
        <v>46</v>
      </c>
      <c r="D207" s="2" t="s">
        <v>19</v>
      </c>
      <c r="E207" s="2" t="s">
        <v>20</v>
      </c>
      <c r="F207" s="2">
        <v>2</v>
      </c>
      <c r="G207" s="2" t="s">
        <v>21</v>
      </c>
      <c r="H207" t="str" cm="1">
        <f t="array" ref="H207:J207">_xlfn.XLOOKUP(C207,Products!A:A,Products!B:D)</f>
        <v>Ergonomic Chair</v>
      </c>
      <c r="I207" t="str">
        <v>Furniture</v>
      </c>
      <c r="J207">
        <v>249.99</v>
      </c>
      <c r="K207">
        <f t="shared" si="4"/>
        <v>499.98</v>
      </c>
      <c r="Q207" s="8"/>
    </row>
    <row r="208" spans="1:17" ht="14.25" customHeight="1" x14ac:dyDescent="0.3">
      <c r="A208" s="2" t="s">
        <v>256</v>
      </c>
      <c r="B208" s="2" t="s">
        <v>58</v>
      </c>
      <c r="C208" s="2" t="s">
        <v>43</v>
      </c>
      <c r="D208" s="2" t="s">
        <v>60</v>
      </c>
      <c r="E208" s="2" t="s">
        <v>24</v>
      </c>
      <c r="F208" s="2">
        <v>4</v>
      </c>
      <c r="G208" s="2" t="s">
        <v>21</v>
      </c>
      <c r="H208" t="str" cm="1">
        <f t="array" ref="H208:J208">_xlfn.XLOOKUP(C208,Products!A:A,Products!B:D)</f>
        <v>Bluetooth Speaker</v>
      </c>
      <c r="I208" t="str">
        <v>Accessories</v>
      </c>
      <c r="J208">
        <v>79.989999999999995</v>
      </c>
      <c r="K208">
        <f t="shared" si="4"/>
        <v>319.95999999999998</v>
      </c>
      <c r="Q208" s="8"/>
    </row>
    <row r="209" spans="1:17" ht="14.25" customHeight="1" x14ac:dyDescent="0.3">
      <c r="A209" s="2" t="s">
        <v>257</v>
      </c>
      <c r="B209" s="2" t="s">
        <v>56</v>
      </c>
      <c r="C209" s="2" t="s">
        <v>35</v>
      </c>
      <c r="D209" s="2" t="s">
        <v>19</v>
      </c>
      <c r="E209" s="2" t="s">
        <v>20</v>
      </c>
      <c r="F209" s="2">
        <v>3</v>
      </c>
      <c r="G209" s="2" t="s">
        <v>25</v>
      </c>
      <c r="H209" t="str" cm="1">
        <f t="array" ref="H209:J209">_xlfn.XLOOKUP(C209,Products!A:A,Products!B:D)</f>
        <v>Mechanical Keyboard</v>
      </c>
      <c r="I209" t="str">
        <v>Accessories</v>
      </c>
      <c r="J209">
        <v>89.99</v>
      </c>
      <c r="K209">
        <f t="shared" si="4"/>
        <v>0</v>
      </c>
      <c r="Q209" s="8"/>
    </row>
    <row r="210" spans="1:17" ht="14.25" customHeight="1" x14ac:dyDescent="0.3">
      <c r="A210" s="2" t="s">
        <v>258</v>
      </c>
      <c r="B210" s="2" t="s">
        <v>58</v>
      </c>
      <c r="C210" s="2" t="s">
        <v>38</v>
      </c>
      <c r="D210" s="2" t="s">
        <v>29</v>
      </c>
      <c r="E210" s="2" t="s">
        <v>24</v>
      </c>
      <c r="F210" s="2">
        <v>3</v>
      </c>
      <c r="G210" s="2" t="s">
        <v>25</v>
      </c>
      <c r="H210" t="str" cm="1">
        <f t="array" ref="H210:J210">_xlfn.XLOOKUP(C210,Products!A:A,Products!B:D)</f>
        <v>Gaming Mouse</v>
      </c>
      <c r="I210" t="str">
        <v>Accessories</v>
      </c>
      <c r="J210">
        <v>49.99</v>
      </c>
      <c r="K210">
        <f t="shared" si="4"/>
        <v>0</v>
      </c>
      <c r="Q210" s="8"/>
    </row>
    <row r="211" spans="1:17" ht="14.25" customHeight="1" x14ac:dyDescent="0.3">
      <c r="A211" s="2" t="s">
        <v>259</v>
      </c>
      <c r="B211" s="2" t="s">
        <v>56</v>
      </c>
      <c r="C211" s="2" t="s">
        <v>46</v>
      </c>
      <c r="D211" s="2" t="s">
        <v>19</v>
      </c>
      <c r="E211" s="2" t="s">
        <v>52</v>
      </c>
      <c r="F211" s="2">
        <v>1</v>
      </c>
      <c r="G211" s="2" t="s">
        <v>21</v>
      </c>
      <c r="H211" t="str" cm="1">
        <f t="array" ref="H211:J211">_xlfn.XLOOKUP(C211,Products!A:A,Products!B:D)</f>
        <v>Ergonomic Chair</v>
      </c>
      <c r="I211" t="str">
        <v>Furniture</v>
      </c>
      <c r="J211">
        <v>249.99</v>
      </c>
      <c r="K211">
        <f t="shared" si="4"/>
        <v>249.99</v>
      </c>
      <c r="Q211" s="8"/>
    </row>
    <row r="212" spans="1:17" ht="14.25" customHeight="1" x14ac:dyDescent="0.3">
      <c r="A212" s="2" t="s">
        <v>260</v>
      </c>
      <c r="B212" s="2" t="s">
        <v>27</v>
      </c>
      <c r="C212" s="2" t="s">
        <v>23</v>
      </c>
      <c r="D212" s="2" t="s">
        <v>60</v>
      </c>
      <c r="E212" s="2" t="s">
        <v>47</v>
      </c>
      <c r="F212" s="2">
        <v>3</v>
      </c>
      <c r="G212" s="2" t="s">
        <v>21</v>
      </c>
      <c r="H212" t="str" cm="1">
        <f t="array" ref="H212:J212">_xlfn.XLOOKUP(C212,Products!A:A,Products!B:D)</f>
        <v>4K Monitor</v>
      </c>
      <c r="I212" t="str">
        <v>Electronics</v>
      </c>
      <c r="J212">
        <v>349.99</v>
      </c>
      <c r="K212">
        <f t="shared" si="4"/>
        <v>1049.97</v>
      </c>
      <c r="Q212" s="8"/>
    </row>
    <row r="213" spans="1:17" ht="14.25" customHeight="1" x14ac:dyDescent="0.3">
      <c r="A213" s="2" t="s">
        <v>261</v>
      </c>
      <c r="B213" s="2" t="s">
        <v>58</v>
      </c>
      <c r="C213" s="2" t="s">
        <v>7</v>
      </c>
      <c r="D213" s="2" t="s">
        <v>29</v>
      </c>
      <c r="E213" s="2" t="s">
        <v>20</v>
      </c>
      <c r="F213" s="2">
        <v>2</v>
      </c>
      <c r="G213" s="2" t="s">
        <v>61</v>
      </c>
      <c r="H213" t="str" cm="1">
        <f t="array" ref="H213:J213">_xlfn.XLOOKUP(C213,Products!A:A,Products!B:D)</f>
        <v>Smartphone X</v>
      </c>
      <c r="I213" t="str">
        <v>Electronics</v>
      </c>
      <c r="J213">
        <v>999.99</v>
      </c>
      <c r="K213">
        <f t="shared" si="4"/>
        <v>1999.98</v>
      </c>
      <c r="Q213" s="8"/>
    </row>
    <row r="214" spans="1:17" ht="14.25" customHeight="1" x14ac:dyDescent="0.3">
      <c r="A214" s="2" t="s">
        <v>262</v>
      </c>
      <c r="B214" s="2" t="s">
        <v>58</v>
      </c>
      <c r="C214" s="2" t="s">
        <v>30</v>
      </c>
      <c r="D214" s="2" t="s">
        <v>29</v>
      </c>
      <c r="E214" s="2" t="s">
        <v>20</v>
      </c>
      <c r="F214" s="2">
        <v>3</v>
      </c>
      <c r="G214" s="2" t="s">
        <v>61</v>
      </c>
      <c r="H214" t="str" cm="1">
        <f t="array" ref="H214:J214">_xlfn.XLOOKUP(C214,Products!A:A,Products!B:D)</f>
        <v>Wireless Headphones</v>
      </c>
      <c r="I214" t="str">
        <v>Accessories</v>
      </c>
      <c r="J214">
        <v>149.99</v>
      </c>
      <c r="K214">
        <f t="shared" si="4"/>
        <v>449.97</v>
      </c>
      <c r="Q214" s="8"/>
    </row>
    <row r="215" spans="1:17" ht="14.25" customHeight="1" x14ac:dyDescent="0.3">
      <c r="A215" s="2" t="s">
        <v>263</v>
      </c>
      <c r="B215" s="2" t="s">
        <v>27</v>
      </c>
      <c r="C215" s="2" t="s">
        <v>43</v>
      </c>
      <c r="D215" s="2" t="s">
        <v>60</v>
      </c>
      <c r="E215" s="2" t="s">
        <v>20</v>
      </c>
      <c r="F215" s="2">
        <v>3</v>
      </c>
      <c r="G215" s="2" t="s">
        <v>21</v>
      </c>
      <c r="H215" t="str" cm="1">
        <f t="array" ref="H215:J215">_xlfn.XLOOKUP(C215,Products!A:A,Products!B:D)</f>
        <v>Bluetooth Speaker</v>
      </c>
      <c r="I215" t="str">
        <v>Accessories</v>
      </c>
      <c r="J215">
        <v>79.989999999999995</v>
      </c>
      <c r="K215">
        <f t="shared" si="4"/>
        <v>239.96999999999997</v>
      </c>
      <c r="Q215" s="8"/>
    </row>
    <row r="216" spans="1:17" ht="14.25" customHeight="1" x14ac:dyDescent="0.3">
      <c r="A216" s="2" t="s">
        <v>264</v>
      </c>
      <c r="B216" s="2" t="s">
        <v>58</v>
      </c>
      <c r="C216" s="2" t="s">
        <v>43</v>
      </c>
      <c r="D216" s="2" t="s">
        <v>41</v>
      </c>
      <c r="E216" s="2" t="s">
        <v>24</v>
      </c>
      <c r="F216" s="2">
        <v>5</v>
      </c>
      <c r="G216" s="2" t="s">
        <v>21</v>
      </c>
      <c r="H216" t="str" cm="1">
        <f t="array" ref="H216:J216">_xlfn.XLOOKUP(C216,Products!A:A,Products!B:D)</f>
        <v>Bluetooth Speaker</v>
      </c>
      <c r="I216" t="str">
        <v>Accessories</v>
      </c>
      <c r="J216">
        <v>79.989999999999995</v>
      </c>
      <c r="K216">
        <f t="shared" si="4"/>
        <v>399.95</v>
      </c>
      <c r="Q216" s="8"/>
    </row>
    <row r="217" spans="1:17" ht="14.25" customHeight="1" x14ac:dyDescent="0.3">
      <c r="A217" s="2" t="s">
        <v>265</v>
      </c>
      <c r="B217" s="2" t="s">
        <v>56</v>
      </c>
      <c r="C217" s="2" t="s">
        <v>23</v>
      </c>
      <c r="D217" s="2" t="s">
        <v>60</v>
      </c>
      <c r="E217" s="2" t="s">
        <v>52</v>
      </c>
      <c r="F217" s="2">
        <v>5</v>
      </c>
      <c r="G217" s="2" t="s">
        <v>21</v>
      </c>
      <c r="H217" t="str" cm="1">
        <f t="array" ref="H217:J217">_xlfn.XLOOKUP(C217,Products!A:A,Products!B:D)</f>
        <v>4K Monitor</v>
      </c>
      <c r="I217" t="str">
        <v>Electronics</v>
      </c>
      <c r="J217">
        <v>349.99</v>
      </c>
      <c r="K217">
        <f t="shared" si="4"/>
        <v>1749.95</v>
      </c>
      <c r="Q217" s="8"/>
    </row>
    <row r="218" spans="1:17" ht="14.25" customHeight="1" x14ac:dyDescent="0.3">
      <c r="A218" s="2" t="s">
        <v>266</v>
      </c>
      <c r="B218" s="2" t="s">
        <v>58</v>
      </c>
      <c r="C218" s="2" t="s">
        <v>38</v>
      </c>
      <c r="D218" s="2" t="s">
        <v>19</v>
      </c>
      <c r="E218" s="2" t="s">
        <v>20</v>
      </c>
      <c r="F218" s="2">
        <v>2</v>
      </c>
      <c r="G218" s="2" t="s">
        <v>21</v>
      </c>
      <c r="H218" t="str" cm="1">
        <f t="array" ref="H218:J218">_xlfn.XLOOKUP(C218,Products!A:A,Products!B:D)</f>
        <v>Gaming Mouse</v>
      </c>
      <c r="I218" t="str">
        <v>Accessories</v>
      </c>
      <c r="J218">
        <v>49.99</v>
      </c>
      <c r="K218">
        <f t="shared" si="4"/>
        <v>99.98</v>
      </c>
      <c r="Q218" s="8"/>
    </row>
    <row r="219" spans="1:17" ht="14.25" customHeight="1" x14ac:dyDescent="0.3">
      <c r="A219" s="2" t="s">
        <v>267</v>
      </c>
      <c r="B219" s="2" t="s">
        <v>17</v>
      </c>
      <c r="C219" s="2" t="s">
        <v>30</v>
      </c>
      <c r="D219" s="2" t="s">
        <v>29</v>
      </c>
      <c r="E219" s="2" t="s">
        <v>24</v>
      </c>
      <c r="F219" s="2">
        <v>3</v>
      </c>
      <c r="G219" s="2" t="s">
        <v>21</v>
      </c>
      <c r="H219" t="str" cm="1">
        <f t="array" ref="H219:J219">_xlfn.XLOOKUP(C219,Products!A:A,Products!B:D)</f>
        <v>Wireless Headphones</v>
      </c>
      <c r="I219" t="str">
        <v>Accessories</v>
      </c>
      <c r="J219">
        <v>149.99</v>
      </c>
      <c r="K219">
        <f t="shared" si="4"/>
        <v>449.97</v>
      </c>
      <c r="Q219" s="8"/>
    </row>
    <row r="220" spans="1:17" ht="14.25" customHeight="1" x14ac:dyDescent="0.3">
      <c r="A220" s="2" t="s">
        <v>268</v>
      </c>
      <c r="B220" s="2" t="s">
        <v>58</v>
      </c>
      <c r="C220" s="2" t="s">
        <v>30</v>
      </c>
      <c r="D220" s="2" t="s">
        <v>37</v>
      </c>
      <c r="E220" s="2" t="s">
        <v>24</v>
      </c>
      <c r="F220" s="2">
        <v>4</v>
      </c>
      <c r="G220" s="2" t="s">
        <v>25</v>
      </c>
      <c r="H220" t="str" cm="1">
        <f t="array" ref="H220:J220">_xlfn.XLOOKUP(C220,Products!A:A,Products!B:D)</f>
        <v>Wireless Headphones</v>
      </c>
      <c r="I220" t="str">
        <v>Accessories</v>
      </c>
      <c r="J220">
        <v>149.99</v>
      </c>
      <c r="K220">
        <f t="shared" si="4"/>
        <v>0</v>
      </c>
      <c r="Q220" s="8"/>
    </row>
    <row r="221" spans="1:17" ht="14.25" customHeight="1" x14ac:dyDescent="0.3">
      <c r="A221" s="2" t="s">
        <v>269</v>
      </c>
      <c r="B221" s="2" t="s">
        <v>58</v>
      </c>
      <c r="C221" s="2" t="s">
        <v>46</v>
      </c>
      <c r="D221" s="2" t="s">
        <v>37</v>
      </c>
      <c r="E221" s="2" t="s">
        <v>24</v>
      </c>
      <c r="F221" s="2">
        <v>4</v>
      </c>
      <c r="G221" s="2" t="s">
        <v>21</v>
      </c>
      <c r="H221" t="str" cm="1">
        <f t="array" ref="H221:J221">_xlfn.XLOOKUP(C221,Products!A:A,Products!B:D)</f>
        <v>Ergonomic Chair</v>
      </c>
      <c r="I221" t="str">
        <v>Furniture</v>
      </c>
      <c r="J221">
        <v>249.99</v>
      </c>
      <c r="K221">
        <f t="shared" si="4"/>
        <v>999.96</v>
      </c>
      <c r="Q221" s="8"/>
    </row>
    <row r="222" spans="1:17" ht="14.25" customHeight="1" x14ac:dyDescent="0.3">
      <c r="A222" s="2" t="s">
        <v>270</v>
      </c>
      <c r="B222" s="2" t="s">
        <v>27</v>
      </c>
      <c r="C222" s="2" t="s">
        <v>23</v>
      </c>
      <c r="D222" s="2" t="s">
        <v>19</v>
      </c>
      <c r="E222" s="2" t="s">
        <v>47</v>
      </c>
      <c r="F222" s="2">
        <v>1</v>
      </c>
      <c r="G222" s="2" t="s">
        <v>25</v>
      </c>
      <c r="H222" t="str" cm="1">
        <f t="array" ref="H222:J222">_xlfn.XLOOKUP(C222,Products!A:A,Products!B:D)</f>
        <v>4K Monitor</v>
      </c>
      <c r="I222" t="str">
        <v>Electronics</v>
      </c>
      <c r="J222">
        <v>349.99</v>
      </c>
      <c r="K222">
        <f t="shared" si="4"/>
        <v>0</v>
      </c>
      <c r="Q222" s="8"/>
    </row>
    <row r="223" spans="1:17" ht="14.25" customHeight="1" x14ac:dyDescent="0.3">
      <c r="A223" s="2" t="s">
        <v>271</v>
      </c>
      <c r="B223" s="2" t="s">
        <v>17</v>
      </c>
      <c r="C223" s="2" t="s">
        <v>30</v>
      </c>
      <c r="D223" s="2" t="s">
        <v>19</v>
      </c>
      <c r="E223" s="2" t="s">
        <v>24</v>
      </c>
      <c r="F223" s="2">
        <v>1</v>
      </c>
      <c r="G223" s="2" t="s">
        <v>21</v>
      </c>
      <c r="H223" t="str" cm="1">
        <f t="array" ref="H223:J223">_xlfn.XLOOKUP(C223,Products!A:A,Products!B:D)</f>
        <v>Wireless Headphones</v>
      </c>
      <c r="I223" t="str">
        <v>Accessories</v>
      </c>
      <c r="J223">
        <v>149.99</v>
      </c>
      <c r="K223">
        <f t="shared" si="4"/>
        <v>149.99</v>
      </c>
      <c r="Q223" s="8"/>
    </row>
    <row r="224" spans="1:17" ht="14.25" customHeight="1" x14ac:dyDescent="0.3">
      <c r="A224" s="2" t="s">
        <v>272</v>
      </c>
      <c r="B224" s="2" t="s">
        <v>56</v>
      </c>
      <c r="C224" s="2" t="s">
        <v>46</v>
      </c>
      <c r="D224" s="2" t="s">
        <v>41</v>
      </c>
      <c r="E224" s="2" t="s">
        <v>24</v>
      </c>
      <c r="F224" s="2">
        <v>2</v>
      </c>
      <c r="G224" s="2" t="s">
        <v>21</v>
      </c>
      <c r="H224" t="str" cm="1">
        <f t="array" ref="H224:J224">_xlfn.XLOOKUP(C224,Products!A:A,Products!B:D)</f>
        <v>Ergonomic Chair</v>
      </c>
      <c r="I224" t="str">
        <v>Furniture</v>
      </c>
      <c r="J224">
        <v>249.99</v>
      </c>
      <c r="K224">
        <f t="shared" si="4"/>
        <v>499.98</v>
      </c>
      <c r="Q224" s="8"/>
    </row>
    <row r="225" spans="1:17" ht="14.25" customHeight="1" x14ac:dyDescent="0.3">
      <c r="A225" s="2" t="s">
        <v>273</v>
      </c>
      <c r="B225" s="2" t="s">
        <v>58</v>
      </c>
      <c r="C225" s="2" t="s">
        <v>46</v>
      </c>
      <c r="D225" s="2" t="s">
        <v>37</v>
      </c>
      <c r="E225" s="2" t="s">
        <v>20</v>
      </c>
      <c r="F225" s="2">
        <v>2</v>
      </c>
      <c r="G225" s="2" t="s">
        <v>21</v>
      </c>
      <c r="H225" t="str" cm="1">
        <f t="array" ref="H225:J225">_xlfn.XLOOKUP(C225,Products!A:A,Products!B:D)</f>
        <v>Ergonomic Chair</v>
      </c>
      <c r="I225" t="str">
        <v>Furniture</v>
      </c>
      <c r="J225">
        <v>249.99</v>
      </c>
      <c r="K225">
        <f t="shared" si="4"/>
        <v>499.98</v>
      </c>
      <c r="Q225" s="8"/>
    </row>
    <row r="226" spans="1:17" ht="14.25" customHeight="1" x14ac:dyDescent="0.3">
      <c r="A226" s="2" t="s">
        <v>274</v>
      </c>
      <c r="B226" s="2" t="s">
        <v>17</v>
      </c>
      <c r="C226" s="2" t="s">
        <v>46</v>
      </c>
      <c r="D226" s="2" t="s">
        <v>29</v>
      </c>
      <c r="E226" s="2" t="s">
        <v>20</v>
      </c>
      <c r="F226" s="2">
        <v>2</v>
      </c>
      <c r="G226" s="2" t="s">
        <v>21</v>
      </c>
      <c r="H226" t="str" cm="1">
        <f t="array" ref="H226:J226">_xlfn.XLOOKUP(C226,Products!A:A,Products!B:D)</f>
        <v>Ergonomic Chair</v>
      </c>
      <c r="I226" t="str">
        <v>Furniture</v>
      </c>
      <c r="J226">
        <v>249.99</v>
      </c>
      <c r="K226">
        <f t="shared" si="4"/>
        <v>499.98</v>
      </c>
      <c r="Q226" s="8"/>
    </row>
    <row r="227" spans="1:17" ht="14.25" customHeight="1" x14ac:dyDescent="0.3">
      <c r="A227" s="2" t="s">
        <v>275</v>
      </c>
      <c r="B227" s="2" t="s">
        <v>54</v>
      </c>
      <c r="C227" s="2" t="s">
        <v>30</v>
      </c>
      <c r="D227" s="2" t="s">
        <v>29</v>
      </c>
      <c r="E227" s="2" t="s">
        <v>24</v>
      </c>
      <c r="F227" s="2">
        <v>1</v>
      </c>
      <c r="G227" s="2" t="s">
        <v>21</v>
      </c>
      <c r="H227" t="str" cm="1">
        <f t="array" ref="H227:J227">_xlfn.XLOOKUP(C227,Products!A:A,Products!B:D)</f>
        <v>Wireless Headphones</v>
      </c>
      <c r="I227" t="str">
        <v>Accessories</v>
      </c>
      <c r="J227">
        <v>149.99</v>
      </c>
      <c r="K227">
        <f t="shared" si="4"/>
        <v>149.99</v>
      </c>
      <c r="Q227" s="8"/>
    </row>
    <row r="228" spans="1:17" ht="14.25" customHeight="1" x14ac:dyDescent="0.3">
      <c r="A228" s="2" t="s">
        <v>276</v>
      </c>
      <c r="B228" s="2" t="s">
        <v>54</v>
      </c>
      <c r="C228" s="2" t="s">
        <v>46</v>
      </c>
      <c r="D228" s="2" t="s">
        <v>29</v>
      </c>
      <c r="E228" s="2" t="s">
        <v>52</v>
      </c>
      <c r="F228" s="2">
        <v>3</v>
      </c>
      <c r="G228" s="2" t="s">
        <v>61</v>
      </c>
      <c r="H228" t="str" cm="1">
        <f t="array" ref="H228:J228">_xlfn.XLOOKUP(C228,Products!A:A,Products!B:D)</f>
        <v>Ergonomic Chair</v>
      </c>
      <c r="I228" t="str">
        <v>Furniture</v>
      </c>
      <c r="J228">
        <v>249.99</v>
      </c>
      <c r="K228">
        <f t="shared" si="4"/>
        <v>749.97</v>
      </c>
      <c r="Q228" s="8"/>
    </row>
    <row r="229" spans="1:17" ht="14.25" customHeight="1" x14ac:dyDescent="0.3">
      <c r="A229" s="2" t="s">
        <v>277</v>
      </c>
      <c r="B229" s="2" t="s">
        <v>34</v>
      </c>
      <c r="C229" s="2" t="s">
        <v>46</v>
      </c>
      <c r="D229" s="2" t="s">
        <v>37</v>
      </c>
      <c r="E229" s="2" t="s">
        <v>52</v>
      </c>
      <c r="F229" s="2">
        <v>5</v>
      </c>
      <c r="G229" s="2" t="s">
        <v>25</v>
      </c>
      <c r="H229" t="str" cm="1">
        <f t="array" ref="H229:J229">_xlfn.XLOOKUP(C229,Products!A:A,Products!B:D)</f>
        <v>Ergonomic Chair</v>
      </c>
      <c r="I229" t="str">
        <v>Furniture</v>
      </c>
      <c r="J229">
        <v>249.99</v>
      </c>
      <c r="K229">
        <f t="shared" si="4"/>
        <v>0</v>
      </c>
      <c r="Q229" s="8"/>
    </row>
    <row r="230" spans="1:17" ht="14.25" customHeight="1" x14ac:dyDescent="0.3">
      <c r="A230" s="2" t="s">
        <v>278</v>
      </c>
      <c r="B230" s="2" t="s">
        <v>34</v>
      </c>
      <c r="C230" s="2" t="s">
        <v>38</v>
      </c>
      <c r="D230" s="2" t="s">
        <v>60</v>
      </c>
      <c r="E230" s="2" t="s">
        <v>24</v>
      </c>
      <c r="F230" s="2">
        <v>3</v>
      </c>
      <c r="G230" s="2" t="s">
        <v>21</v>
      </c>
      <c r="H230" t="str" cm="1">
        <f t="array" ref="H230:J230">_xlfn.XLOOKUP(C230,Products!A:A,Products!B:D)</f>
        <v>Gaming Mouse</v>
      </c>
      <c r="I230" t="str">
        <v>Accessories</v>
      </c>
      <c r="J230">
        <v>49.99</v>
      </c>
      <c r="K230">
        <f t="shared" si="4"/>
        <v>149.97</v>
      </c>
      <c r="Q230" s="8"/>
    </row>
    <row r="231" spans="1:17" ht="14.25" customHeight="1" x14ac:dyDescent="0.3">
      <c r="A231" s="2" t="s">
        <v>279</v>
      </c>
      <c r="B231" s="2" t="s">
        <v>27</v>
      </c>
      <c r="C231" s="2" t="s">
        <v>46</v>
      </c>
      <c r="D231" s="2" t="s">
        <v>41</v>
      </c>
      <c r="E231" s="2" t="s">
        <v>47</v>
      </c>
      <c r="F231" s="2">
        <v>5</v>
      </c>
      <c r="G231" s="2" t="s">
        <v>21</v>
      </c>
      <c r="H231" t="str" cm="1">
        <f t="array" ref="H231:J231">_xlfn.XLOOKUP(C231,Products!A:A,Products!B:D)</f>
        <v>Ergonomic Chair</v>
      </c>
      <c r="I231" t="str">
        <v>Furniture</v>
      </c>
      <c r="J231">
        <v>249.99</v>
      </c>
      <c r="K231">
        <f t="shared" si="4"/>
        <v>1249.95</v>
      </c>
      <c r="Q231" s="8"/>
    </row>
    <row r="232" spans="1:17" ht="14.25" customHeight="1" x14ac:dyDescent="0.3">
      <c r="A232" s="2" t="s">
        <v>280</v>
      </c>
      <c r="B232" s="2" t="s">
        <v>54</v>
      </c>
      <c r="C232" s="2" t="s">
        <v>46</v>
      </c>
      <c r="D232" s="2" t="s">
        <v>29</v>
      </c>
      <c r="E232" s="2" t="s">
        <v>52</v>
      </c>
      <c r="F232" s="2">
        <v>5</v>
      </c>
      <c r="G232" s="2" t="s">
        <v>21</v>
      </c>
      <c r="H232" t="str" cm="1">
        <f t="array" ref="H232:J232">_xlfn.XLOOKUP(C232,Products!A:A,Products!B:D)</f>
        <v>Ergonomic Chair</v>
      </c>
      <c r="I232" t="str">
        <v>Furniture</v>
      </c>
      <c r="J232">
        <v>249.99</v>
      </c>
      <c r="K232">
        <f t="shared" si="4"/>
        <v>1249.95</v>
      </c>
      <c r="Q232" s="8"/>
    </row>
    <row r="233" spans="1:17" ht="14.25" customHeight="1" x14ac:dyDescent="0.3">
      <c r="A233" s="2" t="s">
        <v>281</v>
      </c>
      <c r="B233" s="2" t="s">
        <v>34</v>
      </c>
      <c r="C233" s="2" t="s">
        <v>18</v>
      </c>
      <c r="D233" s="2" t="s">
        <v>37</v>
      </c>
      <c r="E233" s="2" t="s">
        <v>52</v>
      </c>
      <c r="F233" s="2">
        <v>4</v>
      </c>
      <c r="G233" s="2" t="s">
        <v>25</v>
      </c>
      <c r="H233" t="str" cm="1">
        <f t="array" ref="H233:J233">_xlfn.XLOOKUP(C233,Products!A:A,Products!B:D)</f>
        <v>Tablet Air</v>
      </c>
      <c r="I233" t="str">
        <v>Electronics</v>
      </c>
      <c r="J233">
        <v>499.99</v>
      </c>
      <c r="K233">
        <f t="shared" si="4"/>
        <v>0</v>
      </c>
      <c r="Q233" s="8"/>
    </row>
    <row r="234" spans="1:17" ht="14.25" customHeight="1" x14ac:dyDescent="0.3">
      <c r="A234" s="2" t="s">
        <v>282</v>
      </c>
      <c r="B234" s="2" t="s">
        <v>56</v>
      </c>
      <c r="C234" s="2" t="s">
        <v>46</v>
      </c>
      <c r="D234" s="2" t="s">
        <v>37</v>
      </c>
      <c r="E234" s="2" t="s">
        <v>24</v>
      </c>
      <c r="F234" s="2">
        <v>5</v>
      </c>
      <c r="G234" s="2" t="s">
        <v>61</v>
      </c>
      <c r="H234" t="str" cm="1">
        <f t="array" ref="H234:J234">_xlfn.XLOOKUP(C234,Products!A:A,Products!B:D)</f>
        <v>Ergonomic Chair</v>
      </c>
      <c r="I234" t="str">
        <v>Furniture</v>
      </c>
      <c r="J234">
        <v>249.99</v>
      </c>
      <c r="K234">
        <f t="shared" si="4"/>
        <v>1249.95</v>
      </c>
      <c r="Q234" s="8"/>
    </row>
    <row r="235" spans="1:17" ht="14.25" customHeight="1" x14ac:dyDescent="0.3">
      <c r="A235" s="2" t="s">
        <v>283</v>
      </c>
      <c r="B235" s="2" t="s">
        <v>58</v>
      </c>
      <c r="C235" s="2" t="s">
        <v>7</v>
      </c>
      <c r="D235" s="2" t="s">
        <v>41</v>
      </c>
      <c r="E235" s="2" t="s">
        <v>20</v>
      </c>
      <c r="F235" s="2">
        <v>2</v>
      </c>
      <c r="G235" s="2" t="s">
        <v>61</v>
      </c>
      <c r="H235" t="str" cm="1">
        <f t="array" ref="H235:J235">_xlfn.XLOOKUP(C235,Products!A:A,Products!B:D)</f>
        <v>Smartphone X</v>
      </c>
      <c r="I235" t="str">
        <v>Electronics</v>
      </c>
      <c r="J235">
        <v>999.99</v>
      </c>
      <c r="K235">
        <f t="shared" si="4"/>
        <v>1999.98</v>
      </c>
      <c r="Q235" s="8"/>
    </row>
    <row r="236" spans="1:17" ht="14.25" customHeight="1" x14ac:dyDescent="0.3">
      <c r="A236" s="2" t="s">
        <v>284</v>
      </c>
      <c r="B236" s="2" t="s">
        <v>58</v>
      </c>
      <c r="C236" s="2" t="s">
        <v>46</v>
      </c>
      <c r="D236" s="2" t="s">
        <v>60</v>
      </c>
      <c r="E236" s="2" t="s">
        <v>20</v>
      </c>
      <c r="F236" s="2">
        <v>4</v>
      </c>
      <c r="G236" s="2" t="s">
        <v>21</v>
      </c>
      <c r="H236" t="str" cm="1">
        <f t="array" ref="H236:J236">_xlfn.XLOOKUP(C236,Products!A:A,Products!B:D)</f>
        <v>Ergonomic Chair</v>
      </c>
      <c r="I236" t="str">
        <v>Furniture</v>
      </c>
      <c r="J236">
        <v>249.99</v>
      </c>
      <c r="K236">
        <f t="shared" si="4"/>
        <v>999.96</v>
      </c>
      <c r="Q236" s="8"/>
    </row>
    <row r="237" spans="1:17" ht="14.25" customHeight="1" x14ac:dyDescent="0.3">
      <c r="A237" s="2" t="s">
        <v>285</v>
      </c>
      <c r="B237" s="2" t="s">
        <v>27</v>
      </c>
      <c r="C237" s="2" t="s">
        <v>35</v>
      </c>
      <c r="D237" s="2" t="s">
        <v>60</v>
      </c>
      <c r="E237" s="2" t="s">
        <v>52</v>
      </c>
      <c r="F237" s="2">
        <v>3</v>
      </c>
      <c r="G237" s="2" t="s">
        <v>21</v>
      </c>
      <c r="H237" t="str" cm="1">
        <f t="array" ref="H237:J237">_xlfn.XLOOKUP(C237,Products!A:A,Products!B:D)</f>
        <v>Mechanical Keyboard</v>
      </c>
      <c r="I237" t="str">
        <v>Accessories</v>
      </c>
      <c r="J237">
        <v>89.99</v>
      </c>
      <c r="K237">
        <f t="shared" si="4"/>
        <v>269.96999999999997</v>
      </c>
      <c r="Q237" s="8"/>
    </row>
    <row r="238" spans="1:17" ht="14.25" customHeight="1" x14ac:dyDescent="0.3">
      <c r="A238" s="2" t="s">
        <v>286</v>
      </c>
      <c r="B238" s="2" t="s">
        <v>34</v>
      </c>
      <c r="C238" s="2" t="s">
        <v>18</v>
      </c>
      <c r="D238" s="2" t="s">
        <v>29</v>
      </c>
      <c r="E238" s="2" t="s">
        <v>52</v>
      </c>
      <c r="F238" s="2">
        <v>2</v>
      </c>
      <c r="G238" s="2" t="s">
        <v>21</v>
      </c>
      <c r="H238" t="str" cm="1">
        <f t="array" ref="H238:J238">_xlfn.XLOOKUP(C238,Products!A:A,Products!B:D)</f>
        <v>Tablet Air</v>
      </c>
      <c r="I238" t="str">
        <v>Electronics</v>
      </c>
      <c r="J238">
        <v>499.99</v>
      </c>
      <c r="K238">
        <f t="shared" si="4"/>
        <v>999.98</v>
      </c>
      <c r="Q238" s="8"/>
    </row>
    <row r="239" spans="1:17" ht="14.25" customHeight="1" x14ac:dyDescent="0.3">
      <c r="A239" s="2" t="s">
        <v>287</v>
      </c>
      <c r="B239" s="2" t="s">
        <v>17</v>
      </c>
      <c r="C239" s="2" t="s">
        <v>23</v>
      </c>
      <c r="D239" s="2" t="s">
        <v>41</v>
      </c>
      <c r="E239" s="2" t="s">
        <v>47</v>
      </c>
      <c r="F239" s="2">
        <v>4</v>
      </c>
      <c r="G239" s="2" t="s">
        <v>21</v>
      </c>
      <c r="H239" t="str" cm="1">
        <f t="array" ref="H239:J239">_xlfn.XLOOKUP(C239,Products!A:A,Products!B:D)</f>
        <v>4K Monitor</v>
      </c>
      <c r="I239" t="str">
        <v>Electronics</v>
      </c>
      <c r="J239">
        <v>349.99</v>
      </c>
      <c r="K239">
        <f t="shared" si="4"/>
        <v>1399.96</v>
      </c>
      <c r="Q239" s="8"/>
    </row>
    <row r="240" spans="1:17" ht="14.25" customHeight="1" x14ac:dyDescent="0.3">
      <c r="A240" s="2" t="s">
        <v>288</v>
      </c>
      <c r="B240" s="2" t="s">
        <v>27</v>
      </c>
      <c r="C240" s="2" t="s">
        <v>46</v>
      </c>
      <c r="D240" s="2" t="s">
        <v>60</v>
      </c>
      <c r="E240" s="2" t="s">
        <v>52</v>
      </c>
      <c r="F240" s="2">
        <v>1</v>
      </c>
      <c r="G240" s="2" t="s">
        <v>25</v>
      </c>
      <c r="H240" t="str" cm="1">
        <f t="array" ref="H240:J240">_xlfn.XLOOKUP(C240,Products!A:A,Products!B:D)</f>
        <v>Ergonomic Chair</v>
      </c>
      <c r="I240" t="str">
        <v>Furniture</v>
      </c>
      <c r="J240">
        <v>249.99</v>
      </c>
      <c r="K240">
        <f t="shared" si="4"/>
        <v>0</v>
      </c>
      <c r="Q240" s="8"/>
    </row>
    <row r="241" spans="1:17" ht="14.25" customHeight="1" x14ac:dyDescent="0.3">
      <c r="A241" s="2" t="s">
        <v>289</v>
      </c>
      <c r="B241" s="2" t="s">
        <v>56</v>
      </c>
      <c r="C241" s="2" t="s">
        <v>7</v>
      </c>
      <c r="D241" s="2" t="s">
        <v>41</v>
      </c>
      <c r="E241" s="2" t="s">
        <v>52</v>
      </c>
      <c r="F241" s="2">
        <v>4</v>
      </c>
      <c r="G241" s="2" t="s">
        <v>21</v>
      </c>
      <c r="H241" t="str" cm="1">
        <f t="array" ref="H241:J241">_xlfn.XLOOKUP(C241,Products!A:A,Products!B:D)</f>
        <v>Smartphone X</v>
      </c>
      <c r="I241" t="str">
        <v>Electronics</v>
      </c>
      <c r="J241">
        <v>999.99</v>
      </c>
      <c r="K241">
        <f t="shared" si="4"/>
        <v>3999.96</v>
      </c>
      <c r="Q241" s="8"/>
    </row>
    <row r="242" spans="1:17" ht="14.25" customHeight="1" x14ac:dyDescent="0.3">
      <c r="A242" s="2" t="s">
        <v>290</v>
      </c>
      <c r="B242" s="2" t="s">
        <v>58</v>
      </c>
      <c r="C242" s="2" t="s">
        <v>43</v>
      </c>
      <c r="D242" s="2" t="s">
        <v>19</v>
      </c>
      <c r="E242" s="2" t="s">
        <v>47</v>
      </c>
      <c r="F242" s="2">
        <v>3</v>
      </c>
      <c r="G242" s="2" t="s">
        <v>21</v>
      </c>
      <c r="H242" t="str" cm="1">
        <f t="array" ref="H242:J242">_xlfn.XLOOKUP(C242,Products!A:A,Products!B:D)</f>
        <v>Bluetooth Speaker</v>
      </c>
      <c r="I242" t="str">
        <v>Accessories</v>
      </c>
      <c r="J242">
        <v>79.989999999999995</v>
      </c>
      <c r="K242">
        <f t="shared" si="4"/>
        <v>239.96999999999997</v>
      </c>
      <c r="Q242" s="8"/>
    </row>
    <row r="243" spans="1:17" ht="14.25" customHeight="1" x14ac:dyDescent="0.3">
      <c r="A243" s="2" t="s">
        <v>291</v>
      </c>
      <c r="B243" s="2" t="s">
        <v>58</v>
      </c>
      <c r="C243" s="2" t="s">
        <v>43</v>
      </c>
      <c r="D243" s="2" t="s">
        <v>37</v>
      </c>
      <c r="E243" s="2" t="s">
        <v>20</v>
      </c>
      <c r="F243" s="2">
        <v>2</v>
      </c>
      <c r="G243" s="2" t="s">
        <v>21</v>
      </c>
      <c r="H243" t="str" cm="1">
        <f t="array" ref="H243:J243">_xlfn.XLOOKUP(C243,Products!A:A,Products!B:D)</f>
        <v>Bluetooth Speaker</v>
      </c>
      <c r="I243" t="str">
        <v>Accessories</v>
      </c>
      <c r="J243">
        <v>79.989999999999995</v>
      </c>
      <c r="K243">
        <f t="shared" si="4"/>
        <v>159.97999999999999</v>
      </c>
      <c r="Q243" s="8"/>
    </row>
    <row r="244" spans="1:17" ht="14.25" customHeight="1" x14ac:dyDescent="0.3">
      <c r="A244" s="2" t="s">
        <v>292</v>
      </c>
      <c r="B244" s="2" t="s">
        <v>17</v>
      </c>
      <c r="C244" s="2" t="s">
        <v>23</v>
      </c>
      <c r="D244" s="2" t="s">
        <v>29</v>
      </c>
      <c r="E244" s="2" t="s">
        <v>52</v>
      </c>
      <c r="F244" s="2">
        <v>1</v>
      </c>
      <c r="G244" s="2" t="s">
        <v>21</v>
      </c>
      <c r="H244" t="str" cm="1">
        <f t="array" ref="H244:J244">_xlfn.XLOOKUP(C244,Products!A:A,Products!B:D)</f>
        <v>4K Monitor</v>
      </c>
      <c r="I244" t="str">
        <v>Electronics</v>
      </c>
      <c r="J244">
        <v>349.99</v>
      </c>
      <c r="K244">
        <f t="shared" si="4"/>
        <v>349.99</v>
      </c>
      <c r="Q244" s="8"/>
    </row>
    <row r="245" spans="1:17" ht="14.25" customHeight="1" x14ac:dyDescent="0.3">
      <c r="A245" s="2" t="s">
        <v>293</v>
      </c>
      <c r="B245" s="2" t="s">
        <v>17</v>
      </c>
      <c r="C245" s="2" t="s">
        <v>7</v>
      </c>
      <c r="D245" s="2" t="s">
        <v>29</v>
      </c>
      <c r="E245" s="2" t="s">
        <v>47</v>
      </c>
      <c r="F245" s="2">
        <v>3</v>
      </c>
      <c r="G245" s="2" t="s">
        <v>61</v>
      </c>
      <c r="H245" t="str" cm="1">
        <f t="array" ref="H245:J245">_xlfn.XLOOKUP(C245,Products!A:A,Products!B:D)</f>
        <v>Smartphone X</v>
      </c>
      <c r="I245" t="str">
        <v>Electronics</v>
      </c>
      <c r="J245">
        <v>999.99</v>
      </c>
      <c r="K245">
        <f t="shared" si="4"/>
        <v>2999.9700000000003</v>
      </c>
      <c r="Q245" s="8"/>
    </row>
    <row r="246" spans="1:17" ht="14.25" customHeight="1" x14ac:dyDescent="0.3">
      <c r="A246" s="2" t="s">
        <v>294</v>
      </c>
      <c r="B246" s="2" t="s">
        <v>34</v>
      </c>
      <c r="C246" s="2" t="s">
        <v>35</v>
      </c>
      <c r="D246" s="2" t="s">
        <v>19</v>
      </c>
      <c r="E246" s="2" t="s">
        <v>52</v>
      </c>
      <c r="F246" s="2">
        <v>4</v>
      </c>
      <c r="G246" s="2" t="s">
        <v>21</v>
      </c>
      <c r="H246" t="str" cm="1">
        <f t="array" ref="H246:J246">_xlfn.XLOOKUP(C246,Products!A:A,Products!B:D)</f>
        <v>Mechanical Keyboard</v>
      </c>
      <c r="I246" t="str">
        <v>Accessories</v>
      </c>
      <c r="J246">
        <v>89.99</v>
      </c>
      <c r="K246">
        <f t="shared" si="4"/>
        <v>359.96</v>
      </c>
      <c r="Q246" s="8"/>
    </row>
    <row r="247" spans="1:17" ht="14.25" customHeight="1" x14ac:dyDescent="0.3">
      <c r="A247" s="2" t="s">
        <v>295</v>
      </c>
      <c r="B247" s="2" t="s">
        <v>34</v>
      </c>
      <c r="C247" s="2" t="s">
        <v>30</v>
      </c>
      <c r="D247" s="2" t="s">
        <v>19</v>
      </c>
      <c r="E247" s="2" t="s">
        <v>47</v>
      </c>
      <c r="F247" s="2">
        <v>1</v>
      </c>
      <c r="G247" s="2" t="s">
        <v>21</v>
      </c>
      <c r="H247" t="str" cm="1">
        <f t="array" ref="H247:J247">_xlfn.XLOOKUP(C247,Products!A:A,Products!B:D)</f>
        <v>Wireless Headphones</v>
      </c>
      <c r="I247" t="str">
        <v>Accessories</v>
      </c>
      <c r="J247">
        <v>149.99</v>
      </c>
      <c r="K247">
        <f t="shared" si="4"/>
        <v>149.99</v>
      </c>
      <c r="Q247" s="8"/>
    </row>
    <row r="248" spans="1:17" ht="14.25" customHeight="1" x14ac:dyDescent="0.3">
      <c r="A248" s="2" t="s">
        <v>296</v>
      </c>
      <c r="B248" s="2" t="s">
        <v>58</v>
      </c>
      <c r="C248" s="2" t="s">
        <v>18</v>
      </c>
      <c r="D248" s="2" t="s">
        <v>29</v>
      </c>
      <c r="E248" s="2" t="s">
        <v>20</v>
      </c>
      <c r="F248" s="2">
        <v>4</v>
      </c>
      <c r="G248" s="2" t="s">
        <v>21</v>
      </c>
      <c r="H248" t="str" cm="1">
        <f t="array" ref="H248:J248">_xlfn.XLOOKUP(C248,Products!A:A,Products!B:D)</f>
        <v>Tablet Air</v>
      </c>
      <c r="I248" t="str">
        <v>Electronics</v>
      </c>
      <c r="J248">
        <v>499.99</v>
      </c>
      <c r="K248">
        <f t="shared" si="4"/>
        <v>1999.96</v>
      </c>
      <c r="Q248" s="8"/>
    </row>
    <row r="249" spans="1:17" ht="14.25" customHeight="1" x14ac:dyDescent="0.3">
      <c r="A249" s="2" t="s">
        <v>297</v>
      </c>
      <c r="B249" s="2" t="s">
        <v>34</v>
      </c>
      <c r="C249" s="2" t="s">
        <v>43</v>
      </c>
      <c r="D249" s="2" t="s">
        <v>19</v>
      </c>
      <c r="E249" s="2" t="s">
        <v>47</v>
      </c>
      <c r="F249" s="2">
        <v>2</v>
      </c>
      <c r="G249" s="2" t="s">
        <v>61</v>
      </c>
      <c r="H249" t="str" cm="1">
        <f t="array" ref="H249:J249">_xlfn.XLOOKUP(C249,Products!A:A,Products!B:D)</f>
        <v>Bluetooth Speaker</v>
      </c>
      <c r="I249" t="str">
        <v>Accessories</v>
      </c>
      <c r="J249">
        <v>79.989999999999995</v>
      </c>
      <c r="K249">
        <f t="shared" si="4"/>
        <v>159.97999999999999</v>
      </c>
      <c r="Q249" s="8"/>
    </row>
    <row r="250" spans="1:17" ht="14.25" customHeight="1" x14ac:dyDescent="0.3">
      <c r="A250" s="2" t="s">
        <v>298</v>
      </c>
      <c r="B250" s="2" t="s">
        <v>58</v>
      </c>
      <c r="C250" s="2" t="s">
        <v>7</v>
      </c>
      <c r="D250" s="2" t="s">
        <v>19</v>
      </c>
      <c r="E250" s="2" t="s">
        <v>47</v>
      </c>
      <c r="F250" s="2">
        <v>3</v>
      </c>
      <c r="G250" s="2" t="s">
        <v>25</v>
      </c>
      <c r="H250" t="str" cm="1">
        <f t="array" ref="H250:J250">_xlfn.XLOOKUP(C250,Products!A:A,Products!B:D)</f>
        <v>Smartphone X</v>
      </c>
      <c r="I250" t="str">
        <v>Electronics</v>
      </c>
      <c r="J250">
        <v>999.99</v>
      </c>
      <c r="K250">
        <f t="shared" si="4"/>
        <v>0</v>
      </c>
      <c r="Q250" s="8"/>
    </row>
    <row r="251" spans="1:17" ht="14.25" customHeight="1" x14ac:dyDescent="0.3">
      <c r="A251" s="2" t="s">
        <v>299</v>
      </c>
      <c r="B251" s="2" t="s">
        <v>34</v>
      </c>
      <c r="C251" s="2" t="s">
        <v>18</v>
      </c>
      <c r="D251" s="2" t="s">
        <v>60</v>
      </c>
      <c r="E251" s="2" t="s">
        <v>47</v>
      </c>
      <c r="F251" s="2">
        <v>3</v>
      </c>
      <c r="G251" s="2" t="s">
        <v>61</v>
      </c>
      <c r="H251" t="str" cm="1">
        <f t="array" ref="H251:J251">_xlfn.XLOOKUP(C251,Products!A:A,Products!B:D)</f>
        <v>Tablet Air</v>
      </c>
      <c r="I251" t="str">
        <v>Electronics</v>
      </c>
      <c r="J251">
        <v>499.99</v>
      </c>
      <c r="K251">
        <f t="shared" si="4"/>
        <v>1499.97</v>
      </c>
      <c r="Q251" s="8"/>
    </row>
    <row r="252" spans="1:17" ht="14.25" customHeight="1" x14ac:dyDescent="0.3">
      <c r="A252" s="2" t="s">
        <v>300</v>
      </c>
      <c r="B252" s="2" t="s">
        <v>56</v>
      </c>
      <c r="C252" s="2" t="s">
        <v>30</v>
      </c>
      <c r="D252" s="2" t="s">
        <v>19</v>
      </c>
      <c r="E252" s="2" t="s">
        <v>52</v>
      </c>
      <c r="F252" s="2">
        <v>4</v>
      </c>
      <c r="G252" s="2" t="s">
        <v>61</v>
      </c>
      <c r="H252" t="str" cm="1">
        <f t="array" ref="H252:J252">_xlfn.XLOOKUP(C252,Products!A:A,Products!B:D)</f>
        <v>Wireless Headphones</v>
      </c>
      <c r="I252" t="str">
        <v>Accessories</v>
      </c>
      <c r="J252">
        <v>149.99</v>
      </c>
      <c r="K252">
        <f t="shared" si="4"/>
        <v>599.96</v>
      </c>
      <c r="Q252" s="8"/>
    </row>
    <row r="253" spans="1:17" ht="14.25" customHeight="1" x14ac:dyDescent="0.3">
      <c r="A253" s="2" t="s">
        <v>301</v>
      </c>
      <c r="B253" s="2" t="s">
        <v>27</v>
      </c>
      <c r="C253" s="2" t="s">
        <v>35</v>
      </c>
      <c r="D253" s="2" t="s">
        <v>19</v>
      </c>
      <c r="E253" s="2" t="s">
        <v>20</v>
      </c>
      <c r="F253" s="2">
        <v>5</v>
      </c>
      <c r="G253" s="2" t="s">
        <v>21</v>
      </c>
      <c r="H253" t="str" cm="1">
        <f t="array" ref="H253:J253">_xlfn.XLOOKUP(C253,Products!A:A,Products!B:D)</f>
        <v>Mechanical Keyboard</v>
      </c>
      <c r="I253" t="str">
        <v>Accessories</v>
      </c>
      <c r="J253">
        <v>89.99</v>
      </c>
      <c r="K253">
        <f t="shared" si="4"/>
        <v>449.95</v>
      </c>
      <c r="Q253" s="8"/>
    </row>
    <row r="254" spans="1:17" ht="14.25" customHeight="1" x14ac:dyDescent="0.3">
      <c r="A254" s="2" t="s">
        <v>302</v>
      </c>
      <c r="B254" s="2" t="s">
        <v>58</v>
      </c>
      <c r="C254" s="2" t="s">
        <v>30</v>
      </c>
      <c r="D254" s="2" t="s">
        <v>29</v>
      </c>
      <c r="E254" s="2" t="s">
        <v>52</v>
      </c>
      <c r="F254" s="2">
        <v>1</v>
      </c>
      <c r="G254" s="2" t="s">
        <v>21</v>
      </c>
      <c r="H254" t="str" cm="1">
        <f t="array" ref="H254:J254">_xlfn.XLOOKUP(C254,Products!A:A,Products!B:D)</f>
        <v>Wireless Headphones</v>
      </c>
      <c r="I254" t="str">
        <v>Accessories</v>
      </c>
      <c r="J254">
        <v>149.99</v>
      </c>
      <c r="K254">
        <f t="shared" si="4"/>
        <v>149.99</v>
      </c>
      <c r="Q254" s="8"/>
    </row>
    <row r="255" spans="1:17" ht="14.25" customHeight="1" x14ac:dyDescent="0.3">
      <c r="A255" s="2" t="s">
        <v>303</v>
      </c>
      <c r="B255" s="2" t="s">
        <v>54</v>
      </c>
      <c r="C255" s="2" t="s">
        <v>35</v>
      </c>
      <c r="D255" s="2" t="s">
        <v>29</v>
      </c>
      <c r="E255" s="2" t="s">
        <v>24</v>
      </c>
      <c r="F255" s="2">
        <v>5</v>
      </c>
      <c r="G255" s="2" t="s">
        <v>21</v>
      </c>
      <c r="H255" t="str" cm="1">
        <f t="array" ref="H255:J255">_xlfn.XLOOKUP(C255,Products!A:A,Products!B:D)</f>
        <v>Mechanical Keyboard</v>
      </c>
      <c r="I255" t="str">
        <v>Accessories</v>
      </c>
      <c r="J255">
        <v>89.99</v>
      </c>
      <c r="K255">
        <f t="shared" si="4"/>
        <v>449.95</v>
      </c>
      <c r="Q255" s="8"/>
    </row>
    <row r="256" spans="1:17" ht="14.25" customHeight="1" x14ac:dyDescent="0.3">
      <c r="A256" s="2" t="s">
        <v>304</v>
      </c>
      <c r="B256" s="2" t="s">
        <v>54</v>
      </c>
      <c r="C256" s="2" t="s">
        <v>38</v>
      </c>
      <c r="D256" s="2" t="s">
        <v>41</v>
      </c>
      <c r="E256" s="2" t="s">
        <v>24</v>
      </c>
      <c r="F256" s="2">
        <v>1</v>
      </c>
      <c r="G256" s="2" t="s">
        <v>21</v>
      </c>
      <c r="H256" t="str" cm="1">
        <f t="array" ref="H256:J256">_xlfn.XLOOKUP(C256,Products!A:A,Products!B:D)</f>
        <v>Gaming Mouse</v>
      </c>
      <c r="I256" t="str">
        <v>Accessories</v>
      </c>
      <c r="J256">
        <v>49.99</v>
      </c>
      <c r="K256">
        <f t="shared" si="4"/>
        <v>49.99</v>
      </c>
      <c r="Q256" s="8"/>
    </row>
    <row r="257" spans="1:17" ht="14.25" customHeight="1" x14ac:dyDescent="0.3">
      <c r="A257" s="2" t="s">
        <v>305</v>
      </c>
      <c r="B257" s="2" t="s">
        <v>56</v>
      </c>
      <c r="C257" s="2" t="s">
        <v>7</v>
      </c>
      <c r="D257" s="2" t="s">
        <v>60</v>
      </c>
      <c r="E257" s="2" t="s">
        <v>47</v>
      </c>
      <c r="F257" s="2">
        <v>5</v>
      </c>
      <c r="G257" s="2" t="s">
        <v>25</v>
      </c>
      <c r="H257" t="str" cm="1">
        <f t="array" ref="H257:J257">_xlfn.XLOOKUP(C257,Products!A:A,Products!B:D)</f>
        <v>Smartphone X</v>
      </c>
      <c r="I257" t="str">
        <v>Electronics</v>
      </c>
      <c r="J257">
        <v>999.99</v>
      </c>
      <c r="K257">
        <f t="shared" si="4"/>
        <v>0</v>
      </c>
      <c r="Q257" s="8"/>
    </row>
    <row r="258" spans="1:17" ht="14.25" customHeight="1" x14ac:dyDescent="0.3">
      <c r="A258" s="2" t="s">
        <v>306</v>
      </c>
      <c r="B258" s="2" t="s">
        <v>54</v>
      </c>
      <c r="C258" s="2" t="s">
        <v>23</v>
      </c>
      <c r="D258" s="2" t="s">
        <v>60</v>
      </c>
      <c r="E258" s="2" t="s">
        <v>52</v>
      </c>
      <c r="F258" s="2">
        <v>5</v>
      </c>
      <c r="G258" s="2" t="s">
        <v>21</v>
      </c>
      <c r="H258" t="str" cm="1">
        <f t="array" ref="H258:J258">_xlfn.XLOOKUP(C258,Products!A:A,Products!B:D)</f>
        <v>4K Monitor</v>
      </c>
      <c r="I258" t="str">
        <v>Electronics</v>
      </c>
      <c r="J258">
        <v>349.99</v>
      </c>
      <c r="K258">
        <f t="shared" si="4"/>
        <v>1749.95</v>
      </c>
      <c r="Q258" s="8"/>
    </row>
    <row r="259" spans="1:17" ht="14.25" customHeight="1" x14ac:dyDescent="0.3">
      <c r="A259" s="2" t="s">
        <v>307</v>
      </c>
      <c r="B259" s="2" t="s">
        <v>34</v>
      </c>
      <c r="C259" s="2" t="s">
        <v>7</v>
      </c>
      <c r="D259" s="2" t="s">
        <v>60</v>
      </c>
      <c r="E259" s="2" t="s">
        <v>52</v>
      </c>
      <c r="F259" s="2">
        <v>3</v>
      </c>
      <c r="G259" s="2" t="s">
        <v>21</v>
      </c>
      <c r="H259" t="str" cm="1">
        <f t="array" ref="H259:J259">_xlfn.XLOOKUP(C259,Products!A:A,Products!B:D)</f>
        <v>Smartphone X</v>
      </c>
      <c r="I259" t="str">
        <v>Electronics</v>
      </c>
      <c r="J259">
        <v>999.99</v>
      </c>
      <c r="K259">
        <f t="shared" ref="K259:K322" si="5">IF(G259="Cancelled", 0, F259*J259)</f>
        <v>2999.9700000000003</v>
      </c>
      <c r="Q259" s="8"/>
    </row>
    <row r="260" spans="1:17" ht="14.25" customHeight="1" x14ac:dyDescent="0.3">
      <c r="A260" s="2" t="s">
        <v>308</v>
      </c>
      <c r="B260" s="2" t="s">
        <v>54</v>
      </c>
      <c r="C260" s="2" t="s">
        <v>7</v>
      </c>
      <c r="D260" s="2" t="s">
        <v>41</v>
      </c>
      <c r="E260" s="2" t="s">
        <v>52</v>
      </c>
      <c r="F260" s="2">
        <v>3</v>
      </c>
      <c r="G260" s="2" t="s">
        <v>21</v>
      </c>
      <c r="H260" t="str" cm="1">
        <f t="array" ref="H260:J260">_xlfn.XLOOKUP(C260,Products!A:A,Products!B:D)</f>
        <v>Smartphone X</v>
      </c>
      <c r="I260" t="str">
        <v>Electronics</v>
      </c>
      <c r="J260">
        <v>999.99</v>
      </c>
      <c r="K260">
        <f t="shared" si="5"/>
        <v>2999.9700000000003</v>
      </c>
      <c r="Q260" s="8"/>
    </row>
    <row r="261" spans="1:17" ht="14.25" customHeight="1" x14ac:dyDescent="0.3">
      <c r="A261" s="2" t="s">
        <v>309</v>
      </c>
      <c r="B261" s="2" t="s">
        <v>54</v>
      </c>
      <c r="C261" s="2" t="s">
        <v>35</v>
      </c>
      <c r="D261" s="2" t="s">
        <v>60</v>
      </c>
      <c r="E261" s="2" t="s">
        <v>20</v>
      </c>
      <c r="F261" s="2">
        <v>4</v>
      </c>
      <c r="G261" s="2" t="s">
        <v>21</v>
      </c>
      <c r="H261" t="str" cm="1">
        <f t="array" ref="H261:J261">_xlfn.XLOOKUP(C261,Products!A:A,Products!B:D)</f>
        <v>Mechanical Keyboard</v>
      </c>
      <c r="I261" t="str">
        <v>Accessories</v>
      </c>
      <c r="J261">
        <v>89.99</v>
      </c>
      <c r="K261">
        <f t="shared" si="5"/>
        <v>359.96</v>
      </c>
      <c r="Q261" s="8"/>
    </row>
    <row r="262" spans="1:17" ht="14.25" customHeight="1" x14ac:dyDescent="0.3">
      <c r="A262" s="2" t="s">
        <v>310</v>
      </c>
      <c r="B262" s="2" t="s">
        <v>17</v>
      </c>
      <c r="C262" s="2" t="s">
        <v>7</v>
      </c>
      <c r="D262" s="2" t="s">
        <v>29</v>
      </c>
      <c r="E262" s="2" t="s">
        <v>52</v>
      </c>
      <c r="F262" s="2">
        <v>1</v>
      </c>
      <c r="G262" s="2" t="s">
        <v>21</v>
      </c>
      <c r="H262" t="str" cm="1">
        <f t="array" ref="H262:J262">_xlfn.XLOOKUP(C262,Products!A:A,Products!B:D)</f>
        <v>Smartphone X</v>
      </c>
      <c r="I262" t="str">
        <v>Electronics</v>
      </c>
      <c r="J262">
        <v>999.99</v>
      </c>
      <c r="K262">
        <f t="shared" si="5"/>
        <v>999.99</v>
      </c>
      <c r="Q262" s="8"/>
    </row>
    <row r="263" spans="1:17" ht="14.25" customHeight="1" x14ac:dyDescent="0.3">
      <c r="A263" s="2" t="s">
        <v>311</v>
      </c>
      <c r="B263" s="2" t="s">
        <v>56</v>
      </c>
      <c r="C263" s="2" t="s">
        <v>35</v>
      </c>
      <c r="D263" s="2" t="s">
        <v>29</v>
      </c>
      <c r="E263" s="2" t="s">
        <v>52</v>
      </c>
      <c r="F263" s="2">
        <v>1</v>
      </c>
      <c r="G263" s="2" t="s">
        <v>21</v>
      </c>
      <c r="H263" t="str" cm="1">
        <f t="array" ref="H263:J263">_xlfn.XLOOKUP(C263,Products!A:A,Products!B:D)</f>
        <v>Mechanical Keyboard</v>
      </c>
      <c r="I263" t="str">
        <v>Accessories</v>
      </c>
      <c r="J263">
        <v>89.99</v>
      </c>
      <c r="K263">
        <f t="shared" si="5"/>
        <v>89.99</v>
      </c>
      <c r="Q263" s="8"/>
    </row>
    <row r="264" spans="1:17" ht="14.25" customHeight="1" x14ac:dyDescent="0.3">
      <c r="A264" s="2" t="s">
        <v>312</v>
      </c>
      <c r="B264" s="2" t="s">
        <v>56</v>
      </c>
      <c r="C264" s="2" t="s">
        <v>35</v>
      </c>
      <c r="D264" s="2" t="s">
        <v>41</v>
      </c>
      <c r="E264" s="2" t="s">
        <v>20</v>
      </c>
      <c r="F264" s="2">
        <v>1</v>
      </c>
      <c r="G264" s="2" t="s">
        <v>21</v>
      </c>
      <c r="H264" t="str" cm="1">
        <f t="array" ref="H264:J264">_xlfn.XLOOKUP(C264,Products!A:A,Products!B:D)</f>
        <v>Mechanical Keyboard</v>
      </c>
      <c r="I264" t="str">
        <v>Accessories</v>
      </c>
      <c r="J264">
        <v>89.99</v>
      </c>
      <c r="K264">
        <f t="shared" si="5"/>
        <v>89.99</v>
      </c>
      <c r="Q264" s="8"/>
    </row>
    <row r="265" spans="1:17" ht="14.25" customHeight="1" x14ac:dyDescent="0.3">
      <c r="A265" s="2" t="s">
        <v>313</v>
      </c>
      <c r="B265" s="2" t="s">
        <v>34</v>
      </c>
      <c r="C265" s="2" t="s">
        <v>35</v>
      </c>
      <c r="D265" s="2" t="s">
        <v>37</v>
      </c>
      <c r="E265" s="2" t="s">
        <v>24</v>
      </c>
      <c r="F265" s="2">
        <v>5</v>
      </c>
      <c r="G265" s="2" t="s">
        <v>21</v>
      </c>
      <c r="H265" t="str" cm="1">
        <f t="array" ref="H265:J265">_xlfn.XLOOKUP(C265,Products!A:A,Products!B:D)</f>
        <v>Mechanical Keyboard</v>
      </c>
      <c r="I265" t="str">
        <v>Accessories</v>
      </c>
      <c r="J265">
        <v>89.99</v>
      </c>
      <c r="K265">
        <f t="shared" si="5"/>
        <v>449.95</v>
      </c>
      <c r="Q265" s="8"/>
    </row>
    <row r="266" spans="1:17" ht="14.25" customHeight="1" x14ac:dyDescent="0.3">
      <c r="A266" s="2" t="s">
        <v>314</v>
      </c>
      <c r="B266" s="2" t="s">
        <v>58</v>
      </c>
      <c r="C266" s="2" t="s">
        <v>35</v>
      </c>
      <c r="D266" s="2" t="s">
        <v>60</v>
      </c>
      <c r="E266" s="2" t="s">
        <v>52</v>
      </c>
      <c r="F266" s="2">
        <v>4</v>
      </c>
      <c r="G266" s="2" t="s">
        <v>21</v>
      </c>
      <c r="H266" t="str" cm="1">
        <f t="array" ref="H266:J266">_xlfn.XLOOKUP(C266,Products!A:A,Products!B:D)</f>
        <v>Mechanical Keyboard</v>
      </c>
      <c r="I266" t="str">
        <v>Accessories</v>
      </c>
      <c r="J266">
        <v>89.99</v>
      </c>
      <c r="K266">
        <f t="shared" si="5"/>
        <v>359.96</v>
      </c>
      <c r="Q266" s="8"/>
    </row>
    <row r="267" spans="1:17" ht="14.25" customHeight="1" x14ac:dyDescent="0.3">
      <c r="A267" s="2" t="s">
        <v>315</v>
      </c>
      <c r="B267" s="2" t="s">
        <v>58</v>
      </c>
      <c r="C267" s="2" t="s">
        <v>7</v>
      </c>
      <c r="D267" s="2" t="s">
        <v>41</v>
      </c>
      <c r="E267" s="2" t="s">
        <v>47</v>
      </c>
      <c r="F267" s="2">
        <v>4</v>
      </c>
      <c r="G267" s="2" t="s">
        <v>25</v>
      </c>
      <c r="H267" t="str" cm="1">
        <f t="array" ref="H267:J267">_xlfn.XLOOKUP(C267,Products!A:A,Products!B:D)</f>
        <v>Smartphone X</v>
      </c>
      <c r="I267" t="str">
        <v>Electronics</v>
      </c>
      <c r="J267">
        <v>999.99</v>
      </c>
      <c r="K267">
        <f t="shared" si="5"/>
        <v>0</v>
      </c>
      <c r="Q267" s="8"/>
    </row>
    <row r="268" spans="1:17" ht="14.25" customHeight="1" x14ac:dyDescent="0.3">
      <c r="A268" s="2" t="s">
        <v>316</v>
      </c>
      <c r="B268" s="2" t="s">
        <v>34</v>
      </c>
      <c r="C268" s="2" t="s">
        <v>30</v>
      </c>
      <c r="D268" s="2" t="s">
        <v>19</v>
      </c>
      <c r="E268" s="2" t="s">
        <v>47</v>
      </c>
      <c r="F268" s="2">
        <v>3</v>
      </c>
      <c r="G268" s="2" t="s">
        <v>21</v>
      </c>
      <c r="H268" t="str" cm="1">
        <f t="array" ref="H268:J268">_xlfn.XLOOKUP(C268,Products!A:A,Products!B:D)</f>
        <v>Wireless Headphones</v>
      </c>
      <c r="I268" t="str">
        <v>Accessories</v>
      </c>
      <c r="J268">
        <v>149.99</v>
      </c>
      <c r="K268">
        <f t="shared" si="5"/>
        <v>449.97</v>
      </c>
      <c r="Q268" s="8"/>
    </row>
    <row r="269" spans="1:17" ht="14.25" customHeight="1" x14ac:dyDescent="0.3">
      <c r="A269" s="2" t="s">
        <v>317</v>
      </c>
      <c r="B269" s="2" t="s">
        <v>34</v>
      </c>
      <c r="C269" s="2" t="s">
        <v>46</v>
      </c>
      <c r="D269" s="2" t="s">
        <v>41</v>
      </c>
      <c r="E269" s="2" t="s">
        <v>20</v>
      </c>
      <c r="F269" s="2">
        <v>4</v>
      </c>
      <c r="G269" s="2" t="s">
        <v>25</v>
      </c>
      <c r="H269" t="str" cm="1">
        <f t="array" ref="H269:J269">_xlfn.XLOOKUP(C269,Products!A:A,Products!B:D)</f>
        <v>Ergonomic Chair</v>
      </c>
      <c r="I269" t="str">
        <v>Furniture</v>
      </c>
      <c r="J269">
        <v>249.99</v>
      </c>
      <c r="K269">
        <f t="shared" si="5"/>
        <v>0</v>
      </c>
      <c r="Q269" s="8"/>
    </row>
    <row r="270" spans="1:17" ht="14.25" customHeight="1" x14ac:dyDescent="0.3">
      <c r="A270" s="2" t="s">
        <v>318</v>
      </c>
      <c r="B270" s="2" t="s">
        <v>56</v>
      </c>
      <c r="C270" s="2" t="s">
        <v>38</v>
      </c>
      <c r="D270" s="2" t="s">
        <v>60</v>
      </c>
      <c r="E270" s="2" t="s">
        <v>20</v>
      </c>
      <c r="F270" s="2">
        <v>2</v>
      </c>
      <c r="G270" s="2" t="s">
        <v>21</v>
      </c>
      <c r="H270" t="str" cm="1">
        <f t="array" ref="H270:J270">_xlfn.XLOOKUP(C270,Products!A:A,Products!B:D)</f>
        <v>Gaming Mouse</v>
      </c>
      <c r="I270" t="str">
        <v>Accessories</v>
      </c>
      <c r="J270">
        <v>49.99</v>
      </c>
      <c r="K270">
        <f t="shared" si="5"/>
        <v>99.98</v>
      </c>
      <c r="Q270" s="8"/>
    </row>
    <row r="271" spans="1:17" ht="14.25" customHeight="1" x14ac:dyDescent="0.3">
      <c r="A271" s="2" t="s">
        <v>319</v>
      </c>
      <c r="B271" s="2" t="s">
        <v>27</v>
      </c>
      <c r="C271" s="2" t="s">
        <v>46</v>
      </c>
      <c r="D271" s="2" t="s">
        <v>37</v>
      </c>
      <c r="E271" s="2" t="s">
        <v>52</v>
      </c>
      <c r="F271" s="2">
        <v>4</v>
      </c>
      <c r="G271" s="2" t="s">
        <v>25</v>
      </c>
      <c r="H271" t="str" cm="1">
        <f t="array" ref="H271:J271">_xlfn.XLOOKUP(C271,Products!A:A,Products!B:D)</f>
        <v>Ergonomic Chair</v>
      </c>
      <c r="I271" t="str">
        <v>Furniture</v>
      </c>
      <c r="J271">
        <v>249.99</v>
      </c>
      <c r="K271">
        <f t="shared" si="5"/>
        <v>0</v>
      </c>
      <c r="Q271" s="8"/>
    </row>
    <row r="272" spans="1:17" ht="14.25" customHeight="1" x14ac:dyDescent="0.3">
      <c r="A272" s="2" t="s">
        <v>320</v>
      </c>
      <c r="B272" s="2" t="s">
        <v>54</v>
      </c>
      <c r="C272" s="2" t="s">
        <v>23</v>
      </c>
      <c r="D272" s="2" t="s">
        <v>19</v>
      </c>
      <c r="E272" s="2" t="s">
        <v>52</v>
      </c>
      <c r="F272" s="2">
        <v>1</v>
      </c>
      <c r="G272" s="2" t="s">
        <v>21</v>
      </c>
      <c r="H272" t="str" cm="1">
        <f t="array" ref="H272:J272">_xlfn.XLOOKUP(C272,Products!A:A,Products!B:D)</f>
        <v>4K Monitor</v>
      </c>
      <c r="I272" t="str">
        <v>Electronics</v>
      </c>
      <c r="J272">
        <v>349.99</v>
      </c>
      <c r="K272">
        <f t="shared" si="5"/>
        <v>349.99</v>
      </c>
      <c r="Q272" s="8"/>
    </row>
    <row r="273" spans="1:17" ht="14.25" customHeight="1" x14ac:dyDescent="0.3">
      <c r="A273" s="2" t="s">
        <v>321</v>
      </c>
      <c r="B273" s="2" t="s">
        <v>17</v>
      </c>
      <c r="C273" s="2" t="s">
        <v>23</v>
      </c>
      <c r="D273" s="2" t="s">
        <v>29</v>
      </c>
      <c r="E273" s="2" t="s">
        <v>20</v>
      </c>
      <c r="F273" s="2">
        <v>2</v>
      </c>
      <c r="G273" s="2" t="s">
        <v>25</v>
      </c>
      <c r="H273" t="str" cm="1">
        <f t="array" ref="H273:J273">_xlfn.XLOOKUP(C273,Products!A:A,Products!B:D)</f>
        <v>4K Monitor</v>
      </c>
      <c r="I273" t="str">
        <v>Electronics</v>
      </c>
      <c r="J273">
        <v>349.99</v>
      </c>
      <c r="K273">
        <f t="shared" si="5"/>
        <v>0</v>
      </c>
      <c r="Q273" s="8"/>
    </row>
    <row r="274" spans="1:17" ht="14.25" customHeight="1" x14ac:dyDescent="0.3">
      <c r="A274" s="2" t="s">
        <v>322</v>
      </c>
      <c r="B274" s="2" t="s">
        <v>17</v>
      </c>
      <c r="C274" s="2" t="s">
        <v>23</v>
      </c>
      <c r="D274" s="2" t="s">
        <v>41</v>
      </c>
      <c r="E274" s="2" t="s">
        <v>47</v>
      </c>
      <c r="F274" s="2">
        <v>4</v>
      </c>
      <c r="G274" s="2" t="s">
        <v>21</v>
      </c>
      <c r="H274" t="str" cm="1">
        <f t="array" ref="H274:J274">_xlfn.XLOOKUP(C274,Products!A:A,Products!B:D)</f>
        <v>4K Monitor</v>
      </c>
      <c r="I274" t="str">
        <v>Electronics</v>
      </c>
      <c r="J274">
        <v>349.99</v>
      </c>
      <c r="K274">
        <f t="shared" si="5"/>
        <v>1399.96</v>
      </c>
      <c r="Q274" s="8"/>
    </row>
    <row r="275" spans="1:17" ht="14.25" customHeight="1" x14ac:dyDescent="0.3">
      <c r="A275" s="2" t="s">
        <v>323</v>
      </c>
      <c r="B275" s="2" t="s">
        <v>27</v>
      </c>
      <c r="C275" s="2" t="s">
        <v>23</v>
      </c>
      <c r="D275" s="2" t="s">
        <v>19</v>
      </c>
      <c r="E275" s="2" t="s">
        <v>24</v>
      </c>
      <c r="F275" s="2">
        <v>2</v>
      </c>
      <c r="G275" s="2" t="s">
        <v>21</v>
      </c>
      <c r="H275" t="str" cm="1">
        <f t="array" ref="H275:J275">_xlfn.XLOOKUP(C275,Products!A:A,Products!B:D)</f>
        <v>4K Monitor</v>
      </c>
      <c r="I275" t="str">
        <v>Electronics</v>
      </c>
      <c r="J275">
        <v>349.99</v>
      </c>
      <c r="K275">
        <f t="shared" si="5"/>
        <v>699.98</v>
      </c>
      <c r="Q275" s="8"/>
    </row>
    <row r="276" spans="1:17" ht="14.25" customHeight="1" x14ac:dyDescent="0.3">
      <c r="A276" s="2" t="s">
        <v>324</v>
      </c>
      <c r="B276" s="2" t="s">
        <v>56</v>
      </c>
      <c r="C276" s="2" t="s">
        <v>35</v>
      </c>
      <c r="D276" s="2" t="s">
        <v>41</v>
      </c>
      <c r="E276" s="2" t="s">
        <v>24</v>
      </c>
      <c r="F276" s="2">
        <v>5</v>
      </c>
      <c r="G276" s="2" t="s">
        <v>21</v>
      </c>
      <c r="H276" t="str" cm="1">
        <f t="array" ref="H276:J276">_xlfn.XLOOKUP(C276,Products!A:A,Products!B:D)</f>
        <v>Mechanical Keyboard</v>
      </c>
      <c r="I276" t="str">
        <v>Accessories</v>
      </c>
      <c r="J276">
        <v>89.99</v>
      </c>
      <c r="K276">
        <f t="shared" si="5"/>
        <v>449.95</v>
      </c>
      <c r="Q276" s="8"/>
    </row>
    <row r="277" spans="1:17" ht="14.25" customHeight="1" x14ac:dyDescent="0.3">
      <c r="A277" s="2" t="s">
        <v>325</v>
      </c>
      <c r="B277" s="2" t="s">
        <v>17</v>
      </c>
      <c r="C277" s="2" t="s">
        <v>38</v>
      </c>
      <c r="D277" s="2" t="s">
        <v>37</v>
      </c>
      <c r="E277" s="2" t="s">
        <v>52</v>
      </c>
      <c r="F277" s="2">
        <v>3</v>
      </c>
      <c r="G277" s="2" t="s">
        <v>21</v>
      </c>
      <c r="H277" t="str" cm="1">
        <f t="array" ref="H277:J277">_xlfn.XLOOKUP(C277,Products!A:A,Products!B:D)</f>
        <v>Gaming Mouse</v>
      </c>
      <c r="I277" t="str">
        <v>Accessories</v>
      </c>
      <c r="J277">
        <v>49.99</v>
      </c>
      <c r="K277">
        <f t="shared" si="5"/>
        <v>149.97</v>
      </c>
      <c r="Q277" s="8"/>
    </row>
    <row r="278" spans="1:17" ht="14.25" customHeight="1" x14ac:dyDescent="0.3">
      <c r="A278" s="2" t="s">
        <v>326</v>
      </c>
      <c r="B278" s="2" t="s">
        <v>56</v>
      </c>
      <c r="C278" s="2" t="s">
        <v>7</v>
      </c>
      <c r="D278" s="2" t="s">
        <v>60</v>
      </c>
      <c r="E278" s="2" t="s">
        <v>47</v>
      </c>
      <c r="F278" s="2">
        <v>1</v>
      </c>
      <c r="G278" s="2" t="s">
        <v>21</v>
      </c>
      <c r="H278" t="str" cm="1">
        <f t="array" ref="H278:J278">_xlfn.XLOOKUP(C278,Products!A:A,Products!B:D)</f>
        <v>Smartphone X</v>
      </c>
      <c r="I278" t="str">
        <v>Electronics</v>
      </c>
      <c r="J278">
        <v>999.99</v>
      </c>
      <c r="K278">
        <f t="shared" si="5"/>
        <v>999.99</v>
      </c>
      <c r="Q278" s="8"/>
    </row>
    <row r="279" spans="1:17" ht="14.25" customHeight="1" x14ac:dyDescent="0.3">
      <c r="A279" s="2" t="s">
        <v>327</v>
      </c>
      <c r="B279" s="2" t="s">
        <v>27</v>
      </c>
      <c r="C279" s="2" t="s">
        <v>46</v>
      </c>
      <c r="D279" s="2" t="s">
        <v>60</v>
      </c>
      <c r="E279" s="2" t="s">
        <v>47</v>
      </c>
      <c r="F279" s="2">
        <v>1</v>
      </c>
      <c r="G279" s="2" t="s">
        <v>21</v>
      </c>
      <c r="H279" t="str" cm="1">
        <f t="array" ref="H279:J279">_xlfn.XLOOKUP(C279,Products!A:A,Products!B:D)</f>
        <v>Ergonomic Chair</v>
      </c>
      <c r="I279" t="str">
        <v>Furniture</v>
      </c>
      <c r="J279">
        <v>249.99</v>
      </c>
      <c r="K279">
        <f t="shared" si="5"/>
        <v>249.99</v>
      </c>
      <c r="Q279" s="8"/>
    </row>
    <row r="280" spans="1:17" ht="14.25" customHeight="1" x14ac:dyDescent="0.3">
      <c r="A280" s="2" t="s">
        <v>328</v>
      </c>
      <c r="B280" s="2" t="s">
        <v>27</v>
      </c>
      <c r="C280" s="2" t="s">
        <v>18</v>
      </c>
      <c r="D280" s="2" t="s">
        <v>29</v>
      </c>
      <c r="E280" s="2" t="s">
        <v>24</v>
      </c>
      <c r="F280" s="2">
        <v>5</v>
      </c>
      <c r="G280" s="2" t="s">
        <v>21</v>
      </c>
      <c r="H280" t="str" cm="1">
        <f t="array" ref="H280:J280">_xlfn.XLOOKUP(C280,Products!A:A,Products!B:D)</f>
        <v>Tablet Air</v>
      </c>
      <c r="I280" t="str">
        <v>Electronics</v>
      </c>
      <c r="J280">
        <v>499.99</v>
      </c>
      <c r="K280">
        <f t="shared" si="5"/>
        <v>2499.9499999999998</v>
      </c>
      <c r="Q280" s="8"/>
    </row>
    <row r="281" spans="1:17" ht="14.25" customHeight="1" x14ac:dyDescent="0.3">
      <c r="A281" s="2" t="s">
        <v>329</v>
      </c>
      <c r="B281" s="2" t="s">
        <v>17</v>
      </c>
      <c r="C281" s="2" t="s">
        <v>30</v>
      </c>
      <c r="D281" s="2" t="s">
        <v>37</v>
      </c>
      <c r="E281" s="2" t="s">
        <v>52</v>
      </c>
      <c r="F281" s="2">
        <v>2</v>
      </c>
      <c r="G281" s="2" t="s">
        <v>21</v>
      </c>
      <c r="H281" t="str" cm="1">
        <f t="array" ref="H281:J281">_xlfn.XLOOKUP(C281,Products!A:A,Products!B:D)</f>
        <v>Wireless Headphones</v>
      </c>
      <c r="I281" t="str">
        <v>Accessories</v>
      </c>
      <c r="J281">
        <v>149.99</v>
      </c>
      <c r="K281">
        <f t="shared" si="5"/>
        <v>299.98</v>
      </c>
      <c r="Q281" s="8"/>
    </row>
    <row r="282" spans="1:17" ht="14.25" customHeight="1" x14ac:dyDescent="0.3">
      <c r="A282" s="2" t="s">
        <v>330</v>
      </c>
      <c r="B282" s="2" t="s">
        <v>58</v>
      </c>
      <c r="C282" s="2" t="s">
        <v>7</v>
      </c>
      <c r="D282" s="2" t="s">
        <v>19</v>
      </c>
      <c r="E282" s="2" t="s">
        <v>52</v>
      </c>
      <c r="F282" s="2">
        <v>2</v>
      </c>
      <c r="G282" s="2" t="s">
        <v>21</v>
      </c>
      <c r="H282" t="str" cm="1">
        <f t="array" ref="H282:J282">_xlfn.XLOOKUP(C282,Products!A:A,Products!B:D)</f>
        <v>Smartphone X</v>
      </c>
      <c r="I282" t="str">
        <v>Electronics</v>
      </c>
      <c r="J282">
        <v>999.99</v>
      </c>
      <c r="K282">
        <f t="shared" si="5"/>
        <v>1999.98</v>
      </c>
      <c r="Q282" s="8"/>
    </row>
    <row r="283" spans="1:17" ht="14.25" customHeight="1" x14ac:dyDescent="0.3">
      <c r="A283" s="2" t="s">
        <v>331</v>
      </c>
      <c r="B283" s="2" t="s">
        <v>58</v>
      </c>
      <c r="C283" s="2" t="s">
        <v>35</v>
      </c>
      <c r="D283" s="2" t="s">
        <v>41</v>
      </c>
      <c r="E283" s="2" t="s">
        <v>47</v>
      </c>
      <c r="F283" s="2">
        <v>4</v>
      </c>
      <c r="G283" s="2" t="s">
        <v>61</v>
      </c>
      <c r="H283" t="str" cm="1">
        <f t="array" ref="H283:J283">_xlfn.XLOOKUP(C283,Products!A:A,Products!B:D)</f>
        <v>Mechanical Keyboard</v>
      </c>
      <c r="I283" t="str">
        <v>Accessories</v>
      </c>
      <c r="J283">
        <v>89.99</v>
      </c>
      <c r="K283">
        <f t="shared" si="5"/>
        <v>359.96</v>
      </c>
      <c r="Q283" s="8"/>
    </row>
    <row r="284" spans="1:17" ht="14.25" customHeight="1" x14ac:dyDescent="0.3">
      <c r="A284" s="2" t="s">
        <v>332</v>
      </c>
      <c r="B284" s="2" t="s">
        <v>17</v>
      </c>
      <c r="C284" s="2" t="s">
        <v>43</v>
      </c>
      <c r="D284" s="2" t="s">
        <v>19</v>
      </c>
      <c r="E284" s="2" t="s">
        <v>24</v>
      </c>
      <c r="F284" s="2">
        <v>5</v>
      </c>
      <c r="G284" s="2" t="s">
        <v>21</v>
      </c>
      <c r="H284" t="str" cm="1">
        <f t="array" ref="H284:J284">_xlfn.XLOOKUP(C284,Products!A:A,Products!B:D)</f>
        <v>Bluetooth Speaker</v>
      </c>
      <c r="I284" t="str">
        <v>Accessories</v>
      </c>
      <c r="J284">
        <v>79.989999999999995</v>
      </c>
      <c r="K284">
        <f t="shared" si="5"/>
        <v>399.95</v>
      </c>
      <c r="Q284" s="8"/>
    </row>
    <row r="285" spans="1:17" ht="14.25" customHeight="1" x14ac:dyDescent="0.3">
      <c r="A285" s="2" t="s">
        <v>333</v>
      </c>
      <c r="B285" s="2" t="s">
        <v>17</v>
      </c>
      <c r="C285" s="2" t="s">
        <v>38</v>
      </c>
      <c r="D285" s="2" t="s">
        <v>37</v>
      </c>
      <c r="E285" s="2" t="s">
        <v>24</v>
      </c>
      <c r="F285" s="2">
        <v>4</v>
      </c>
      <c r="G285" s="2" t="s">
        <v>61</v>
      </c>
      <c r="H285" t="str" cm="1">
        <f t="array" ref="H285:J285">_xlfn.XLOOKUP(C285,Products!A:A,Products!B:D)</f>
        <v>Gaming Mouse</v>
      </c>
      <c r="I285" t="str">
        <v>Accessories</v>
      </c>
      <c r="J285">
        <v>49.99</v>
      </c>
      <c r="K285">
        <f t="shared" si="5"/>
        <v>199.96</v>
      </c>
      <c r="Q285" s="8"/>
    </row>
    <row r="286" spans="1:17" ht="14.25" customHeight="1" x14ac:dyDescent="0.3">
      <c r="A286" s="2" t="s">
        <v>334</v>
      </c>
      <c r="B286" s="2" t="s">
        <v>34</v>
      </c>
      <c r="C286" s="2" t="s">
        <v>23</v>
      </c>
      <c r="D286" s="2" t="s">
        <v>37</v>
      </c>
      <c r="E286" s="2" t="s">
        <v>47</v>
      </c>
      <c r="F286" s="2">
        <v>2</v>
      </c>
      <c r="G286" s="2" t="s">
        <v>21</v>
      </c>
      <c r="H286" t="str" cm="1">
        <f t="array" ref="H286:J286">_xlfn.XLOOKUP(C286,Products!A:A,Products!B:D)</f>
        <v>4K Monitor</v>
      </c>
      <c r="I286" t="str">
        <v>Electronics</v>
      </c>
      <c r="J286">
        <v>349.99</v>
      </c>
      <c r="K286">
        <f t="shared" si="5"/>
        <v>699.98</v>
      </c>
      <c r="Q286" s="8"/>
    </row>
    <row r="287" spans="1:17" ht="14.25" customHeight="1" x14ac:dyDescent="0.3">
      <c r="A287" s="2" t="s">
        <v>335</v>
      </c>
      <c r="B287" s="2" t="s">
        <v>58</v>
      </c>
      <c r="C287" s="2" t="s">
        <v>23</v>
      </c>
      <c r="D287" s="2" t="s">
        <v>37</v>
      </c>
      <c r="E287" s="2" t="s">
        <v>20</v>
      </c>
      <c r="F287" s="2">
        <v>1</v>
      </c>
      <c r="G287" s="2" t="s">
        <v>25</v>
      </c>
      <c r="H287" t="str" cm="1">
        <f t="array" ref="H287:J287">_xlfn.XLOOKUP(C287,Products!A:A,Products!B:D)</f>
        <v>4K Monitor</v>
      </c>
      <c r="I287" t="str">
        <v>Electronics</v>
      </c>
      <c r="J287">
        <v>349.99</v>
      </c>
      <c r="K287">
        <f t="shared" si="5"/>
        <v>0</v>
      </c>
      <c r="Q287" s="8"/>
    </row>
    <row r="288" spans="1:17" ht="14.25" customHeight="1" x14ac:dyDescent="0.3">
      <c r="A288" s="2" t="s">
        <v>336</v>
      </c>
      <c r="B288" s="2" t="s">
        <v>27</v>
      </c>
      <c r="C288" s="2" t="s">
        <v>30</v>
      </c>
      <c r="D288" s="2" t="s">
        <v>41</v>
      </c>
      <c r="E288" s="2" t="s">
        <v>24</v>
      </c>
      <c r="F288" s="2">
        <v>1</v>
      </c>
      <c r="G288" s="2" t="s">
        <v>21</v>
      </c>
      <c r="H288" t="str" cm="1">
        <f t="array" ref="H288:J288">_xlfn.XLOOKUP(C288,Products!A:A,Products!B:D)</f>
        <v>Wireless Headphones</v>
      </c>
      <c r="I288" t="str">
        <v>Accessories</v>
      </c>
      <c r="J288">
        <v>149.99</v>
      </c>
      <c r="K288">
        <f t="shared" si="5"/>
        <v>149.99</v>
      </c>
      <c r="Q288" s="8"/>
    </row>
    <row r="289" spans="1:17" ht="14.25" customHeight="1" x14ac:dyDescent="0.3">
      <c r="A289" s="2" t="s">
        <v>337</v>
      </c>
      <c r="B289" s="2" t="s">
        <v>56</v>
      </c>
      <c r="C289" s="2" t="s">
        <v>46</v>
      </c>
      <c r="D289" s="2" t="s">
        <v>29</v>
      </c>
      <c r="E289" s="2" t="s">
        <v>20</v>
      </c>
      <c r="F289" s="2">
        <v>3</v>
      </c>
      <c r="G289" s="2" t="s">
        <v>61</v>
      </c>
      <c r="H289" t="str" cm="1">
        <f t="array" ref="H289:J289">_xlfn.XLOOKUP(C289,Products!A:A,Products!B:D)</f>
        <v>Ergonomic Chair</v>
      </c>
      <c r="I289" t="str">
        <v>Furniture</v>
      </c>
      <c r="J289">
        <v>249.99</v>
      </c>
      <c r="K289">
        <f t="shared" si="5"/>
        <v>749.97</v>
      </c>
      <c r="Q289" s="8"/>
    </row>
    <row r="290" spans="1:17" ht="14.25" customHeight="1" x14ac:dyDescent="0.3">
      <c r="A290" s="2" t="s">
        <v>338</v>
      </c>
      <c r="B290" s="2" t="s">
        <v>56</v>
      </c>
      <c r="C290" s="2" t="s">
        <v>23</v>
      </c>
      <c r="D290" s="2" t="s">
        <v>41</v>
      </c>
      <c r="E290" s="2" t="s">
        <v>24</v>
      </c>
      <c r="F290" s="2">
        <v>3</v>
      </c>
      <c r="G290" s="2" t="s">
        <v>25</v>
      </c>
      <c r="H290" t="str" cm="1">
        <f t="array" ref="H290:J290">_xlfn.XLOOKUP(C290,Products!A:A,Products!B:D)</f>
        <v>4K Monitor</v>
      </c>
      <c r="I290" t="str">
        <v>Electronics</v>
      </c>
      <c r="J290">
        <v>349.99</v>
      </c>
      <c r="K290">
        <f t="shared" si="5"/>
        <v>0</v>
      </c>
      <c r="Q290" s="8"/>
    </row>
    <row r="291" spans="1:17" ht="14.25" customHeight="1" x14ac:dyDescent="0.3">
      <c r="A291" s="2" t="s">
        <v>339</v>
      </c>
      <c r="B291" s="2" t="s">
        <v>27</v>
      </c>
      <c r="C291" s="2" t="s">
        <v>38</v>
      </c>
      <c r="D291" s="2" t="s">
        <v>60</v>
      </c>
      <c r="E291" s="2" t="s">
        <v>24</v>
      </c>
      <c r="F291" s="2">
        <v>1</v>
      </c>
      <c r="G291" s="2" t="s">
        <v>21</v>
      </c>
      <c r="H291" t="str" cm="1">
        <f t="array" ref="H291:J291">_xlfn.XLOOKUP(C291,Products!A:A,Products!B:D)</f>
        <v>Gaming Mouse</v>
      </c>
      <c r="I291" t="str">
        <v>Accessories</v>
      </c>
      <c r="J291">
        <v>49.99</v>
      </c>
      <c r="K291">
        <f t="shared" si="5"/>
        <v>49.99</v>
      </c>
      <c r="Q291" s="8"/>
    </row>
    <row r="292" spans="1:17" ht="14.25" customHeight="1" x14ac:dyDescent="0.3">
      <c r="A292" s="2" t="s">
        <v>340</v>
      </c>
      <c r="B292" s="2" t="s">
        <v>56</v>
      </c>
      <c r="C292" s="2" t="s">
        <v>46</v>
      </c>
      <c r="D292" s="2" t="s">
        <v>37</v>
      </c>
      <c r="E292" s="2" t="s">
        <v>47</v>
      </c>
      <c r="F292" s="2">
        <v>1</v>
      </c>
      <c r="G292" s="2" t="s">
        <v>25</v>
      </c>
      <c r="H292" t="str" cm="1">
        <f t="array" ref="H292:J292">_xlfn.XLOOKUP(C292,Products!A:A,Products!B:D)</f>
        <v>Ergonomic Chair</v>
      </c>
      <c r="I292" t="str">
        <v>Furniture</v>
      </c>
      <c r="J292">
        <v>249.99</v>
      </c>
      <c r="K292">
        <f t="shared" si="5"/>
        <v>0</v>
      </c>
      <c r="Q292" s="8"/>
    </row>
    <row r="293" spans="1:17" ht="14.25" customHeight="1" x14ac:dyDescent="0.3">
      <c r="A293" s="2" t="s">
        <v>341</v>
      </c>
      <c r="B293" s="2" t="s">
        <v>17</v>
      </c>
      <c r="C293" s="2" t="s">
        <v>46</v>
      </c>
      <c r="D293" s="2" t="s">
        <v>19</v>
      </c>
      <c r="E293" s="2" t="s">
        <v>20</v>
      </c>
      <c r="F293" s="2">
        <v>2</v>
      </c>
      <c r="G293" s="2" t="s">
        <v>21</v>
      </c>
      <c r="H293" t="str" cm="1">
        <f t="array" ref="H293:J293">_xlfn.XLOOKUP(C293,Products!A:A,Products!B:D)</f>
        <v>Ergonomic Chair</v>
      </c>
      <c r="I293" t="str">
        <v>Furniture</v>
      </c>
      <c r="J293">
        <v>249.99</v>
      </c>
      <c r="K293">
        <f t="shared" si="5"/>
        <v>499.98</v>
      </c>
      <c r="Q293" s="8"/>
    </row>
    <row r="294" spans="1:17" ht="14.25" customHeight="1" x14ac:dyDescent="0.3">
      <c r="A294" s="2" t="s">
        <v>342</v>
      </c>
      <c r="B294" s="2" t="s">
        <v>34</v>
      </c>
      <c r="C294" s="2" t="s">
        <v>7</v>
      </c>
      <c r="D294" s="2" t="s">
        <v>37</v>
      </c>
      <c r="E294" s="2" t="s">
        <v>20</v>
      </c>
      <c r="F294" s="2">
        <v>2</v>
      </c>
      <c r="G294" s="2" t="s">
        <v>61</v>
      </c>
      <c r="H294" t="str" cm="1">
        <f t="array" ref="H294:J294">_xlfn.XLOOKUP(C294,Products!A:A,Products!B:D)</f>
        <v>Smartphone X</v>
      </c>
      <c r="I294" t="str">
        <v>Electronics</v>
      </c>
      <c r="J294">
        <v>999.99</v>
      </c>
      <c r="K294">
        <f t="shared" si="5"/>
        <v>1999.98</v>
      </c>
      <c r="Q294" s="8"/>
    </row>
    <row r="295" spans="1:17" ht="14.25" customHeight="1" x14ac:dyDescent="0.3">
      <c r="A295" s="2" t="s">
        <v>343</v>
      </c>
      <c r="B295" s="2" t="s">
        <v>58</v>
      </c>
      <c r="C295" s="2" t="s">
        <v>46</v>
      </c>
      <c r="D295" s="2" t="s">
        <v>19</v>
      </c>
      <c r="E295" s="2" t="s">
        <v>47</v>
      </c>
      <c r="F295" s="2">
        <v>3</v>
      </c>
      <c r="G295" s="2" t="s">
        <v>21</v>
      </c>
      <c r="H295" t="str" cm="1">
        <f t="array" ref="H295:J295">_xlfn.XLOOKUP(C295,Products!A:A,Products!B:D)</f>
        <v>Ergonomic Chair</v>
      </c>
      <c r="I295" t="str">
        <v>Furniture</v>
      </c>
      <c r="J295">
        <v>249.99</v>
      </c>
      <c r="K295">
        <f t="shared" si="5"/>
        <v>749.97</v>
      </c>
      <c r="Q295" s="8"/>
    </row>
    <row r="296" spans="1:17" ht="14.25" customHeight="1" x14ac:dyDescent="0.3">
      <c r="A296" s="2" t="s">
        <v>344</v>
      </c>
      <c r="B296" s="2" t="s">
        <v>17</v>
      </c>
      <c r="C296" s="2" t="s">
        <v>7</v>
      </c>
      <c r="D296" s="2" t="s">
        <v>19</v>
      </c>
      <c r="E296" s="2" t="s">
        <v>52</v>
      </c>
      <c r="F296" s="2">
        <v>4</v>
      </c>
      <c r="G296" s="2" t="s">
        <v>21</v>
      </c>
      <c r="H296" t="str" cm="1">
        <f t="array" ref="H296:J296">_xlfn.XLOOKUP(C296,Products!A:A,Products!B:D)</f>
        <v>Smartphone X</v>
      </c>
      <c r="I296" t="str">
        <v>Electronics</v>
      </c>
      <c r="J296">
        <v>999.99</v>
      </c>
      <c r="K296">
        <f t="shared" si="5"/>
        <v>3999.96</v>
      </c>
      <c r="Q296" s="8"/>
    </row>
    <row r="297" spans="1:17" ht="14.25" customHeight="1" x14ac:dyDescent="0.3">
      <c r="A297" s="2" t="s">
        <v>345</v>
      </c>
      <c r="B297" s="2" t="s">
        <v>27</v>
      </c>
      <c r="C297" s="2" t="s">
        <v>38</v>
      </c>
      <c r="D297" s="2" t="s">
        <v>29</v>
      </c>
      <c r="E297" s="2" t="s">
        <v>20</v>
      </c>
      <c r="F297" s="2">
        <v>3</v>
      </c>
      <c r="G297" s="2" t="s">
        <v>21</v>
      </c>
      <c r="H297" t="str" cm="1">
        <f t="array" ref="H297:J297">_xlfn.XLOOKUP(C297,Products!A:A,Products!B:D)</f>
        <v>Gaming Mouse</v>
      </c>
      <c r="I297" t="str">
        <v>Accessories</v>
      </c>
      <c r="J297">
        <v>49.99</v>
      </c>
      <c r="K297">
        <f t="shared" si="5"/>
        <v>149.97</v>
      </c>
      <c r="Q297" s="8"/>
    </row>
    <row r="298" spans="1:17" ht="14.25" customHeight="1" x14ac:dyDescent="0.3">
      <c r="A298" s="2" t="s">
        <v>346</v>
      </c>
      <c r="B298" s="2" t="s">
        <v>17</v>
      </c>
      <c r="C298" s="2" t="s">
        <v>18</v>
      </c>
      <c r="D298" s="2" t="s">
        <v>41</v>
      </c>
      <c r="E298" s="2" t="s">
        <v>24</v>
      </c>
      <c r="F298" s="2">
        <v>3</v>
      </c>
      <c r="G298" s="2" t="s">
        <v>21</v>
      </c>
      <c r="H298" t="str" cm="1">
        <f t="array" ref="H298:J298">_xlfn.XLOOKUP(C298,Products!A:A,Products!B:D)</f>
        <v>Tablet Air</v>
      </c>
      <c r="I298" t="str">
        <v>Electronics</v>
      </c>
      <c r="J298">
        <v>499.99</v>
      </c>
      <c r="K298">
        <f t="shared" si="5"/>
        <v>1499.97</v>
      </c>
      <c r="Q298" s="8"/>
    </row>
    <row r="299" spans="1:17" ht="14.25" customHeight="1" x14ac:dyDescent="0.3">
      <c r="A299" s="2" t="s">
        <v>347</v>
      </c>
      <c r="B299" s="2" t="s">
        <v>34</v>
      </c>
      <c r="C299" s="2" t="s">
        <v>23</v>
      </c>
      <c r="D299" s="2" t="s">
        <v>60</v>
      </c>
      <c r="E299" s="2" t="s">
        <v>20</v>
      </c>
      <c r="F299" s="2">
        <v>5</v>
      </c>
      <c r="G299" s="2" t="s">
        <v>61</v>
      </c>
      <c r="H299" t="str" cm="1">
        <f t="array" ref="H299:J299">_xlfn.XLOOKUP(C299,Products!A:A,Products!B:D)</f>
        <v>4K Monitor</v>
      </c>
      <c r="I299" t="str">
        <v>Electronics</v>
      </c>
      <c r="J299">
        <v>349.99</v>
      </c>
      <c r="K299">
        <f t="shared" si="5"/>
        <v>1749.95</v>
      </c>
      <c r="Q299" s="8"/>
    </row>
    <row r="300" spans="1:17" ht="14.25" customHeight="1" x14ac:dyDescent="0.3">
      <c r="A300" s="2" t="s">
        <v>348</v>
      </c>
      <c r="B300" s="2" t="s">
        <v>58</v>
      </c>
      <c r="C300" s="2" t="s">
        <v>18</v>
      </c>
      <c r="D300" s="2" t="s">
        <v>37</v>
      </c>
      <c r="E300" s="2" t="s">
        <v>20</v>
      </c>
      <c r="F300" s="2">
        <v>3</v>
      </c>
      <c r="G300" s="2" t="s">
        <v>21</v>
      </c>
      <c r="H300" t="str" cm="1">
        <f t="array" ref="H300:J300">_xlfn.XLOOKUP(C300,Products!A:A,Products!B:D)</f>
        <v>Tablet Air</v>
      </c>
      <c r="I300" t="str">
        <v>Electronics</v>
      </c>
      <c r="J300">
        <v>499.99</v>
      </c>
      <c r="K300">
        <f t="shared" si="5"/>
        <v>1499.97</v>
      </c>
      <c r="Q300" s="8"/>
    </row>
    <row r="301" spans="1:17" ht="14.25" customHeight="1" x14ac:dyDescent="0.3">
      <c r="A301" s="2" t="s">
        <v>349</v>
      </c>
      <c r="B301" s="2" t="s">
        <v>17</v>
      </c>
      <c r="C301" s="2" t="s">
        <v>7</v>
      </c>
      <c r="D301" s="2" t="s">
        <v>29</v>
      </c>
      <c r="E301" s="2" t="s">
        <v>52</v>
      </c>
      <c r="F301" s="2">
        <v>4</v>
      </c>
      <c r="G301" s="2" t="s">
        <v>21</v>
      </c>
      <c r="H301" t="str" cm="1">
        <f t="array" ref="H301:J301">_xlfn.XLOOKUP(C301,Products!A:A,Products!B:D)</f>
        <v>Smartphone X</v>
      </c>
      <c r="I301" t="str">
        <v>Electronics</v>
      </c>
      <c r="J301">
        <v>999.99</v>
      </c>
      <c r="K301">
        <f t="shared" si="5"/>
        <v>3999.96</v>
      </c>
      <c r="Q301" s="8"/>
    </row>
    <row r="302" spans="1:17" ht="14.25" customHeight="1" x14ac:dyDescent="0.3">
      <c r="A302" s="2" t="s">
        <v>350</v>
      </c>
      <c r="B302" s="2" t="s">
        <v>58</v>
      </c>
      <c r="C302" s="2" t="s">
        <v>43</v>
      </c>
      <c r="D302" s="2" t="s">
        <v>29</v>
      </c>
      <c r="E302" s="2" t="s">
        <v>52</v>
      </c>
      <c r="F302" s="2">
        <v>2</v>
      </c>
      <c r="G302" s="2" t="s">
        <v>21</v>
      </c>
      <c r="H302" t="str" cm="1">
        <f t="array" ref="H302:J302">_xlfn.XLOOKUP(C302,Products!A:A,Products!B:D)</f>
        <v>Bluetooth Speaker</v>
      </c>
      <c r="I302" t="str">
        <v>Accessories</v>
      </c>
      <c r="J302">
        <v>79.989999999999995</v>
      </c>
      <c r="K302">
        <f t="shared" si="5"/>
        <v>159.97999999999999</v>
      </c>
      <c r="Q302" s="8"/>
    </row>
    <row r="303" spans="1:17" ht="14.25" customHeight="1" x14ac:dyDescent="0.3">
      <c r="A303" s="2" t="s">
        <v>351</v>
      </c>
      <c r="B303" s="2" t="s">
        <v>27</v>
      </c>
      <c r="C303" s="2" t="s">
        <v>23</v>
      </c>
      <c r="D303" s="2" t="s">
        <v>60</v>
      </c>
      <c r="E303" s="2" t="s">
        <v>52</v>
      </c>
      <c r="F303" s="2">
        <v>5</v>
      </c>
      <c r="G303" s="2" t="s">
        <v>21</v>
      </c>
      <c r="H303" t="str" cm="1">
        <f t="array" ref="H303:J303">_xlfn.XLOOKUP(C303,Products!A:A,Products!B:D)</f>
        <v>4K Monitor</v>
      </c>
      <c r="I303" t="str">
        <v>Electronics</v>
      </c>
      <c r="J303">
        <v>349.99</v>
      </c>
      <c r="K303">
        <f t="shared" si="5"/>
        <v>1749.95</v>
      </c>
      <c r="Q303" s="8"/>
    </row>
    <row r="304" spans="1:17" ht="14.25" customHeight="1" x14ac:dyDescent="0.3">
      <c r="A304" s="2" t="s">
        <v>352</v>
      </c>
      <c r="B304" s="2" t="s">
        <v>54</v>
      </c>
      <c r="C304" s="2" t="s">
        <v>7</v>
      </c>
      <c r="D304" s="2" t="s">
        <v>41</v>
      </c>
      <c r="E304" s="2" t="s">
        <v>52</v>
      </c>
      <c r="F304" s="2">
        <v>4</v>
      </c>
      <c r="G304" s="2" t="s">
        <v>21</v>
      </c>
      <c r="H304" t="str" cm="1">
        <f t="array" ref="H304:J304">_xlfn.XLOOKUP(C304,Products!A:A,Products!B:D)</f>
        <v>Smartphone X</v>
      </c>
      <c r="I304" t="str">
        <v>Electronics</v>
      </c>
      <c r="J304">
        <v>999.99</v>
      </c>
      <c r="K304">
        <f t="shared" si="5"/>
        <v>3999.96</v>
      </c>
      <c r="Q304" s="8"/>
    </row>
    <row r="305" spans="1:17" ht="14.25" customHeight="1" x14ac:dyDescent="0.3">
      <c r="A305" s="2" t="s">
        <v>353</v>
      </c>
      <c r="B305" s="2" t="s">
        <v>34</v>
      </c>
      <c r="C305" s="2" t="s">
        <v>30</v>
      </c>
      <c r="D305" s="2" t="s">
        <v>41</v>
      </c>
      <c r="E305" s="2" t="s">
        <v>20</v>
      </c>
      <c r="F305" s="2">
        <v>1</v>
      </c>
      <c r="G305" s="2" t="s">
        <v>25</v>
      </c>
      <c r="H305" t="str" cm="1">
        <f t="array" ref="H305:J305">_xlfn.XLOOKUP(C305,Products!A:A,Products!B:D)</f>
        <v>Wireless Headphones</v>
      </c>
      <c r="I305" t="str">
        <v>Accessories</v>
      </c>
      <c r="J305">
        <v>149.99</v>
      </c>
      <c r="K305">
        <f t="shared" si="5"/>
        <v>0</v>
      </c>
      <c r="Q305" s="8"/>
    </row>
    <row r="306" spans="1:17" ht="14.25" customHeight="1" x14ac:dyDescent="0.3">
      <c r="A306" s="2" t="s">
        <v>354</v>
      </c>
      <c r="B306" s="2" t="s">
        <v>27</v>
      </c>
      <c r="C306" s="2" t="s">
        <v>23</v>
      </c>
      <c r="D306" s="2" t="s">
        <v>19</v>
      </c>
      <c r="E306" s="2" t="s">
        <v>24</v>
      </c>
      <c r="F306" s="2">
        <v>4</v>
      </c>
      <c r="G306" s="2" t="s">
        <v>21</v>
      </c>
      <c r="H306" t="str" cm="1">
        <f t="array" ref="H306:J306">_xlfn.XLOOKUP(C306,Products!A:A,Products!B:D)</f>
        <v>4K Monitor</v>
      </c>
      <c r="I306" t="str">
        <v>Electronics</v>
      </c>
      <c r="J306">
        <v>349.99</v>
      </c>
      <c r="K306">
        <f t="shared" si="5"/>
        <v>1399.96</v>
      </c>
      <c r="Q306" s="8"/>
    </row>
    <row r="307" spans="1:17" ht="14.25" customHeight="1" x14ac:dyDescent="0.3">
      <c r="A307" s="2" t="s">
        <v>355</v>
      </c>
      <c r="B307" s="2" t="s">
        <v>17</v>
      </c>
      <c r="C307" s="2" t="s">
        <v>23</v>
      </c>
      <c r="D307" s="2" t="s">
        <v>37</v>
      </c>
      <c r="E307" s="2" t="s">
        <v>20</v>
      </c>
      <c r="F307" s="2">
        <v>3</v>
      </c>
      <c r="G307" s="2" t="s">
        <v>21</v>
      </c>
      <c r="H307" t="str" cm="1">
        <f t="array" ref="H307:J307">_xlfn.XLOOKUP(C307,Products!A:A,Products!B:D)</f>
        <v>4K Monitor</v>
      </c>
      <c r="I307" t="str">
        <v>Electronics</v>
      </c>
      <c r="J307">
        <v>349.99</v>
      </c>
      <c r="K307">
        <f t="shared" si="5"/>
        <v>1049.97</v>
      </c>
      <c r="Q307" s="8"/>
    </row>
    <row r="308" spans="1:17" ht="14.25" customHeight="1" x14ac:dyDescent="0.3">
      <c r="A308" s="2" t="s">
        <v>356</v>
      </c>
      <c r="B308" s="2" t="s">
        <v>34</v>
      </c>
      <c r="C308" s="2" t="s">
        <v>23</v>
      </c>
      <c r="D308" s="2" t="s">
        <v>19</v>
      </c>
      <c r="E308" s="2" t="s">
        <v>47</v>
      </c>
      <c r="F308" s="2">
        <v>2</v>
      </c>
      <c r="G308" s="2" t="s">
        <v>25</v>
      </c>
      <c r="H308" t="str" cm="1">
        <f t="array" ref="H308:J308">_xlfn.XLOOKUP(C308,Products!A:A,Products!B:D)</f>
        <v>4K Monitor</v>
      </c>
      <c r="I308" t="str">
        <v>Electronics</v>
      </c>
      <c r="J308">
        <v>349.99</v>
      </c>
      <c r="K308">
        <f t="shared" si="5"/>
        <v>0</v>
      </c>
      <c r="Q308" s="8"/>
    </row>
    <row r="309" spans="1:17" ht="14.25" customHeight="1" x14ac:dyDescent="0.3">
      <c r="A309" s="2" t="s">
        <v>357</v>
      </c>
      <c r="B309" s="2" t="s">
        <v>54</v>
      </c>
      <c r="C309" s="2" t="s">
        <v>23</v>
      </c>
      <c r="D309" s="2" t="s">
        <v>19</v>
      </c>
      <c r="E309" s="2" t="s">
        <v>52</v>
      </c>
      <c r="F309" s="2">
        <v>2</v>
      </c>
      <c r="G309" s="2" t="s">
        <v>21</v>
      </c>
      <c r="H309" t="str" cm="1">
        <f t="array" ref="H309:J309">_xlfn.XLOOKUP(C309,Products!A:A,Products!B:D)</f>
        <v>4K Monitor</v>
      </c>
      <c r="I309" t="str">
        <v>Electronics</v>
      </c>
      <c r="J309">
        <v>349.99</v>
      </c>
      <c r="K309">
        <f t="shared" si="5"/>
        <v>699.98</v>
      </c>
      <c r="Q309" s="8"/>
    </row>
    <row r="310" spans="1:17" ht="14.25" customHeight="1" x14ac:dyDescent="0.3">
      <c r="A310" s="2" t="s">
        <v>358</v>
      </c>
      <c r="B310" s="2" t="s">
        <v>54</v>
      </c>
      <c r="C310" s="2" t="s">
        <v>38</v>
      </c>
      <c r="D310" s="2" t="s">
        <v>37</v>
      </c>
      <c r="E310" s="2" t="s">
        <v>52</v>
      </c>
      <c r="F310" s="2">
        <v>5</v>
      </c>
      <c r="G310" s="2" t="s">
        <v>25</v>
      </c>
      <c r="H310" t="str" cm="1">
        <f t="array" ref="H310:J310">_xlfn.XLOOKUP(C310,Products!A:A,Products!B:D)</f>
        <v>Gaming Mouse</v>
      </c>
      <c r="I310" t="str">
        <v>Accessories</v>
      </c>
      <c r="J310">
        <v>49.99</v>
      </c>
      <c r="K310">
        <f t="shared" si="5"/>
        <v>0</v>
      </c>
      <c r="Q310" s="8"/>
    </row>
    <row r="311" spans="1:17" ht="14.25" customHeight="1" x14ac:dyDescent="0.3">
      <c r="A311" s="2" t="s">
        <v>359</v>
      </c>
      <c r="B311" s="2" t="s">
        <v>56</v>
      </c>
      <c r="C311" s="2" t="s">
        <v>23</v>
      </c>
      <c r="D311" s="2" t="s">
        <v>19</v>
      </c>
      <c r="E311" s="2" t="s">
        <v>47</v>
      </c>
      <c r="F311" s="2">
        <v>1</v>
      </c>
      <c r="G311" s="2" t="s">
        <v>21</v>
      </c>
      <c r="H311" t="str" cm="1">
        <f t="array" ref="H311:J311">_xlfn.XLOOKUP(C311,Products!A:A,Products!B:D)</f>
        <v>4K Monitor</v>
      </c>
      <c r="I311" t="str">
        <v>Electronics</v>
      </c>
      <c r="J311">
        <v>349.99</v>
      </c>
      <c r="K311">
        <f t="shared" si="5"/>
        <v>349.99</v>
      </c>
      <c r="Q311" s="8"/>
    </row>
    <row r="312" spans="1:17" ht="14.25" customHeight="1" x14ac:dyDescent="0.3">
      <c r="A312" s="2" t="s">
        <v>360</v>
      </c>
      <c r="B312" s="2" t="s">
        <v>17</v>
      </c>
      <c r="C312" s="2" t="s">
        <v>38</v>
      </c>
      <c r="D312" s="2" t="s">
        <v>37</v>
      </c>
      <c r="E312" s="2" t="s">
        <v>24</v>
      </c>
      <c r="F312" s="2">
        <v>4</v>
      </c>
      <c r="G312" s="2" t="s">
        <v>21</v>
      </c>
      <c r="H312" t="str" cm="1">
        <f t="array" ref="H312:J312">_xlfn.XLOOKUP(C312,Products!A:A,Products!B:D)</f>
        <v>Gaming Mouse</v>
      </c>
      <c r="I312" t="str">
        <v>Accessories</v>
      </c>
      <c r="J312">
        <v>49.99</v>
      </c>
      <c r="K312">
        <f t="shared" si="5"/>
        <v>199.96</v>
      </c>
      <c r="Q312" s="8"/>
    </row>
    <row r="313" spans="1:17" ht="14.25" customHeight="1" x14ac:dyDescent="0.3">
      <c r="A313" s="2" t="s">
        <v>361</v>
      </c>
      <c r="B313" s="2" t="s">
        <v>54</v>
      </c>
      <c r="C313" s="2" t="s">
        <v>43</v>
      </c>
      <c r="D313" s="2" t="s">
        <v>29</v>
      </c>
      <c r="E313" s="2" t="s">
        <v>24</v>
      </c>
      <c r="F313" s="2">
        <v>3</v>
      </c>
      <c r="G313" s="2" t="s">
        <v>21</v>
      </c>
      <c r="H313" t="str" cm="1">
        <f t="array" ref="H313:J313">_xlfn.XLOOKUP(C313,Products!A:A,Products!B:D)</f>
        <v>Bluetooth Speaker</v>
      </c>
      <c r="I313" t="str">
        <v>Accessories</v>
      </c>
      <c r="J313">
        <v>79.989999999999995</v>
      </c>
      <c r="K313">
        <f t="shared" si="5"/>
        <v>239.96999999999997</v>
      </c>
      <c r="Q313" s="8"/>
    </row>
    <row r="314" spans="1:17" ht="14.25" customHeight="1" x14ac:dyDescent="0.3">
      <c r="A314" s="2" t="s">
        <v>362</v>
      </c>
      <c r="B314" s="2" t="s">
        <v>56</v>
      </c>
      <c r="C314" s="2" t="s">
        <v>30</v>
      </c>
      <c r="D314" s="2" t="s">
        <v>19</v>
      </c>
      <c r="E314" s="2" t="s">
        <v>24</v>
      </c>
      <c r="F314" s="2">
        <v>1</v>
      </c>
      <c r="G314" s="2" t="s">
        <v>25</v>
      </c>
      <c r="H314" t="str" cm="1">
        <f t="array" ref="H314:J314">_xlfn.XLOOKUP(C314,Products!A:A,Products!B:D)</f>
        <v>Wireless Headphones</v>
      </c>
      <c r="I314" t="str">
        <v>Accessories</v>
      </c>
      <c r="J314">
        <v>149.99</v>
      </c>
      <c r="K314">
        <f t="shared" si="5"/>
        <v>0</v>
      </c>
      <c r="Q314" s="8"/>
    </row>
    <row r="315" spans="1:17" ht="14.25" customHeight="1" x14ac:dyDescent="0.3">
      <c r="A315" s="2" t="s">
        <v>363</v>
      </c>
      <c r="B315" s="2" t="s">
        <v>58</v>
      </c>
      <c r="C315" s="2" t="s">
        <v>35</v>
      </c>
      <c r="D315" s="2" t="s">
        <v>19</v>
      </c>
      <c r="E315" s="2" t="s">
        <v>47</v>
      </c>
      <c r="F315" s="2">
        <v>4</v>
      </c>
      <c r="G315" s="2" t="s">
        <v>21</v>
      </c>
      <c r="H315" t="str" cm="1">
        <f t="array" ref="H315:J315">_xlfn.XLOOKUP(C315,Products!A:A,Products!B:D)</f>
        <v>Mechanical Keyboard</v>
      </c>
      <c r="I315" t="str">
        <v>Accessories</v>
      </c>
      <c r="J315">
        <v>89.99</v>
      </c>
      <c r="K315">
        <f t="shared" si="5"/>
        <v>359.96</v>
      </c>
      <c r="Q315" s="8"/>
    </row>
    <row r="316" spans="1:17" ht="14.25" customHeight="1" x14ac:dyDescent="0.3">
      <c r="A316" s="2" t="s">
        <v>364</v>
      </c>
      <c r="B316" s="2" t="s">
        <v>58</v>
      </c>
      <c r="C316" s="2" t="s">
        <v>38</v>
      </c>
      <c r="D316" s="2" t="s">
        <v>60</v>
      </c>
      <c r="E316" s="2" t="s">
        <v>24</v>
      </c>
      <c r="F316" s="2">
        <v>5</v>
      </c>
      <c r="G316" s="2" t="s">
        <v>21</v>
      </c>
      <c r="H316" t="str" cm="1">
        <f t="array" ref="H316:J316">_xlfn.XLOOKUP(C316,Products!A:A,Products!B:D)</f>
        <v>Gaming Mouse</v>
      </c>
      <c r="I316" t="str">
        <v>Accessories</v>
      </c>
      <c r="J316">
        <v>49.99</v>
      </c>
      <c r="K316">
        <f t="shared" si="5"/>
        <v>249.95000000000002</v>
      </c>
      <c r="Q316" s="8"/>
    </row>
    <row r="317" spans="1:17" ht="14.25" customHeight="1" x14ac:dyDescent="0.3">
      <c r="A317" s="2" t="s">
        <v>365</v>
      </c>
      <c r="B317" s="2" t="s">
        <v>54</v>
      </c>
      <c r="C317" s="2" t="s">
        <v>18</v>
      </c>
      <c r="D317" s="2" t="s">
        <v>41</v>
      </c>
      <c r="E317" s="2" t="s">
        <v>47</v>
      </c>
      <c r="F317" s="2">
        <v>3</v>
      </c>
      <c r="G317" s="2" t="s">
        <v>25</v>
      </c>
      <c r="H317" t="str" cm="1">
        <f t="array" ref="H317:J317">_xlfn.XLOOKUP(C317,Products!A:A,Products!B:D)</f>
        <v>Tablet Air</v>
      </c>
      <c r="I317" t="str">
        <v>Electronics</v>
      </c>
      <c r="J317">
        <v>499.99</v>
      </c>
      <c r="K317">
        <f t="shared" si="5"/>
        <v>0</v>
      </c>
      <c r="Q317" s="8"/>
    </row>
    <row r="318" spans="1:17" ht="14.25" customHeight="1" x14ac:dyDescent="0.3">
      <c r="A318" s="2" t="s">
        <v>366</v>
      </c>
      <c r="B318" s="2" t="s">
        <v>34</v>
      </c>
      <c r="C318" s="2" t="s">
        <v>18</v>
      </c>
      <c r="D318" s="2" t="s">
        <v>29</v>
      </c>
      <c r="E318" s="2" t="s">
        <v>20</v>
      </c>
      <c r="F318" s="2">
        <v>2</v>
      </c>
      <c r="G318" s="2" t="s">
        <v>25</v>
      </c>
      <c r="H318" t="str" cm="1">
        <f t="array" ref="H318:J318">_xlfn.XLOOKUP(C318,Products!A:A,Products!B:D)</f>
        <v>Tablet Air</v>
      </c>
      <c r="I318" t="str">
        <v>Electronics</v>
      </c>
      <c r="J318">
        <v>499.99</v>
      </c>
      <c r="K318">
        <f t="shared" si="5"/>
        <v>0</v>
      </c>
      <c r="Q318" s="8"/>
    </row>
    <row r="319" spans="1:17" ht="14.25" customHeight="1" x14ac:dyDescent="0.3">
      <c r="A319" s="2" t="s">
        <v>367</v>
      </c>
      <c r="B319" s="2" t="s">
        <v>58</v>
      </c>
      <c r="C319" s="2" t="s">
        <v>46</v>
      </c>
      <c r="D319" s="2" t="s">
        <v>29</v>
      </c>
      <c r="E319" s="2" t="s">
        <v>20</v>
      </c>
      <c r="F319" s="2">
        <v>4</v>
      </c>
      <c r="G319" s="2" t="s">
        <v>21</v>
      </c>
      <c r="H319" t="str" cm="1">
        <f t="array" ref="H319:J319">_xlfn.XLOOKUP(C319,Products!A:A,Products!B:D)</f>
        <v>Ergonomic Chair</v>
      </c>
      <c r="I319" t="str">
        <v>Furniture</v>
      </c>
      <c r="J319">
        <v>249.99</v>
      </c>
      <c r="K319">
        <f t="shared" si="5"/>
        <v>999.96</v>
      </c>
      <c r="Q319" s="8"/>
    </row>
    <row r="320" spans="1:17" ht="14.25" customHeight="1" x14ac:dyDescent="0.3">
      <c r="A320" s="2" t="s">
        <v>368</v>
      </c>
      <c r="B320" s="2" t="s">
        <v>34</v>
      </c>
      <c r="C320" s="2" t="s">
        <v>18</v>
      </c>
      <c r="D320" s="2" t="s">
        <v>41</v>
      </c>
      <c r="E320" s="2" t="s">
        <v>47</v>
      </c>
      <c r="F320" s="2">
        <v>2</v>
      </c>
      <c r="G320" s="2" t="s">
        <v>25</v>
      </c>
      <c r="H320" t="str" cm="1">
        <f t="array" ref="H320:J320">_xlfn.XLOOKUP(C320,Products!A:A,Products!B:D)</f>
        <v>Tablet Air</v>
      </c>
      <c r="I320" t="str">
        <v>Electronics</v>
      </c>
      <c r="J320">
        <v>499.99</v>
      </c>
      <c r="K320">
        <f t="shared" si="5"/>
        <v>0</v>
      </c>
      <c r="Q320" s="8"/>
    </row>
    <row r="321" spans="1:17" ht="14.25" customHeight="1" x14ac:dyDescent="0.3">
      <c r="A321" s="2" t="s">
        <v>369</v>
      </c>
      <c r="B321" s="2" t="s">
        <v>56</v>
      </c>
      <c r="C321" s="2" t="s">
        <v>18</v>
      </c>
      <c r="D321" s="2" t="s">
        <v>29</v>
      </c>
      <c r="E321" s="2" t="s">
        <v>47</v>
      </c>
      <c r="F321" s="2">
        <v>3</v>
      </c>
      <c r="G321" s="2" t="s">
        <v>25</v>
      </c>
      <c r="H321" t="str" cm="1">
        <f t="array" ref="H321:J321">_xlfn.XLOOKUP(C321,Products!A:A,Products!B:D)</f>
        <v>Tablet Air</v>
      </c>
      <c r="I321" t="str">
        <v>Electronics</v>
      </c>
      <c r="J321">
        <v>499.99</v>
      </c>
      <c r="K321">
        <f t="shared" si="5"/>
        <v>0</v>
      </c>
      <c r="Q321" s="8"/>
    </row>
    <row r="322" spans="1:17" ht="14.25" customHeight="1" x14ac:dyDescent="0.3">
      <c r="A322" s="2" t="s">
        <v>370</v>
      </c>
      <c r="B322" s="2" t="s">
        <v>58</v>
      </c>
      <c r="C322" s="2" t="s">
        <v>35</v>
      </c>
      <c r="D322" s="2" t="s">
        <v>19</v>
      </c>
      <c r="E322" s="2" t="s">
        <v>47</v>
      </c>
      <c r="F322" s="2">
        <v>4</v>
      </c>
      <c r="G322" s="2" t="s">
        <v>25</v>
      </c>
      <c r="H322" t="str" cm="1">
        <f t="array" ref="H322:J322">_xlfn.XLOOKUP(C322,Products!A:A,Products!B:D)</f>
        <v>Mechanical Keyboard</v>
      </c>
      <c r="I322" t="str">
        <v>Accessories</v>
      </c>
      <c r="J322">
        <v>89.99</v>
      </c>
      <c r="K322">
        <f t="shared" si="5"/>
        <v>0</v>
      </c>
      <c r="Q322" s="8"/>
    </row>
    <row r="323" spans="1:17" ht="14.25" customHeight="1" x14ac:dyDescent="0.3">
      <c r="A323" s="2" t="s">
        <v>371</v>
      </c>
      <c r="B323" s="2" t="s">
        <v>54</v>
      </c>
      <c r="C323" s="2" t="s">
        <v>18</v>
      </c>
      <c r="D323" s="2" t="s">
        <v>60</v>
      </c>
      <c r="E323" s="2" t="s">
        <v>24</v>
      </c>
      <c r="F323" s="2">
        <v>2</v>
      </c>
      <c r="G323" s="2" t="s">
        <v>21</v>
      </c>
      <c r="H323" t="str" cm="1">
        <f t="array" ref="H323:J323">_xlfn.XLOOKUP(C323,Products!A:A,Products!B:D)</f>
        <v>Tablet Air</v>
      </c>
      <c r="I323" t="str">
        <v>Electronics</v>
      </c>
      <c r="J323">
        <v>499.99</v>
      </c>
      <c r="K323">
        <f t="shared" ref="K323:K386" si="6">IF(G323="Cancelled", 0, F323*J323)</f>
        <v>999.98</v>
      </c>
      <c r="Q323" s="8"/>
    </row>
    <row r="324" spans="1:17" ht="14.25" customHeight="1" x14ac:dyDescent="0.3">
      <c r="A324" s="2" t="s">
        <v>372</v>
      </c>
      <c r="B324" s="2" t="s">
        <v>34</v>
      </c>
      <c r="C324" s="2" t="s">
        <v>23</v>
      </c>
      <c r="D324" s="2" t="s">
        <v>29</v>
      </c>
      <c r="E324" s="2" t="s">
        <v>20</v>
      </c>
      <c r="F324" s="2">
        <v>2</v>
      </c>
      <c r="G324" s="2" t="s">
        <v>21</v>
      </c>
      <c r="H324" t="str" cm="1">
        <f t="array" ref="H324:J324">_xlfn.XLOOKUP(C324,Products!A:A,Products!B:D)</f>
        <v>4K Monitor</v>
      </c>
      <c r="I324" t="str">
        <v>Electronics</v>
      </c>
      <c r="J324">
        <v>349.99</v>
      </c>
      <c r="K324">
        <f t="shared" si="6"/>
        <v>699.98</v>
      </c>
      <c r="Q324" s="8"/>
    </row>
    <row r="325" spans="1:17" ht="14.25" customHeight="1" x14ac:dyDescent="0.3">
      <c r="A325" s="2" t="s">
        <v>373</v>
      </c>
      <c r="B325" s="2" t="s">
        <v>56</v>
      </c>
      <c r="C325" s="2" t="s">
        <v>43</v>
      </c>
      <c r="D325" s="2" t="s">
        <v>60</v>
      </c>
      <c r="E325" s="2" t="s">
        <v>47</v>
      </c>
      <c r="F325" s="2">
        <v>1</v>
      </c>
      <c r="G325" s="2" t="s">
        <v>21</v>
      </c>
      <c r="H325" t="str" cm="1">
        <f t="array" ref="H325:J325">_xlfn.XLOOKUP(C325,Products!A:A,Products!B:D)</f>
        <v>Bluetooth Speaker</v>
      </c>
      <c r="I325" t="str">
        <v>Accessories</v>
      </c>
      <c r="J325">
        <v>79.989999999999995</v>
      </c>
      <c r="K325">
        <f t="shared" si="6"/>
        <v>79.989999999999995</v>
      </c>
      <c r="Q325" s="8"/>
    </row>
    <row r="326" spans="1:17" ht="14.25" customHeight="1" x14ac:dyDescent="0.3">
      <c r="A326" s="2" t="s">
        <v>374</v>
      </c>
      <c r="B326" s="2" t="s">
        <v>17</v>
      </c>
      <c r="C326" s="2" t="s">
        <v>23</v>
      </c>
      <c r="D326" s="2" t="s">
        <v>41</v>
      </c>
      <c r="E326" s="2" t="s">
        <v>47</v>
      </c>
      <c r="F326" s="2">
        <v>1</v>
      </c>
      <c r="G326" s="2" t="s">
        <v>21</v>
      </c>
      <c r="H326" t="str" cm="1">
        <f t="array" ref="H326:J326">_xlfn.XLOOKUP(C326,Products!A:A,Products!B:D)</f>
        <v>4K Monitor</v>
      </c>
      <c r="I326" t="str">
        <v>Electronics</v>
      </c>
      <c r="J326">
        <v>349.99</v>
      </c>
      <c r="K326">
        <f t="shared" si="6"/>
        <v>349.99</v>
      </c>
      <c r="Q326" s="8"/>
    </row>
    <row r="327" spans="1:17" ht="14.25" customHeight="1" x14ac:dyDescent="0.3">
      <c r="A327" s="2" t="s">
        <v>375</v>
      </c>
      <c r="B327" s="2" t="s">
        <v>56</v>
      </c>
      <c r="C327" s="2" t="s">
        <v>35</v>
      </c>
      <c r="D327" s="2" t="s">
        <v>60</v>
      </c>
      <c r="E327" s="2" t="s">
        <v>52</v>
      </c>
      <c r="F327" s="2">
        <v>2</v>
      </c>
      <c r="G327" s="2" t="s">
        <v>21</v>
      </c>
      <c r="H327" t="str" cm="1">
        <f t="array" ref="H327:J327">_xlfn.XLOOKUP(C327,Products!A:A,Products!B:D)</f>
        <v>Mechanical Keyboard</v>
      </c>
      <c r="I327" t="str">
        <v>Accessories</v>
      </c>
      <c r="J327">
        <v>89.99</v>
      </c>
      <c r="K327">
        <f t="shared" si="6"/>
        <v>179.98</v>
      </c>
      <c r="Q327" s="8"/>
    </row>
    <row r="328" spans="1:17" ht="14.25" customHeight="1" x14ac:dyDescent="0.3">
      <c r="A328" s="2" t="s">
        <v>376</v>
      </c>
      <c r="B328" s="2" t="s">
        <v>27</v>
      </c>
      <c r="C328" s="2" t="s">
        <v>35</v>
      </c>
      <c r="D328" s="2" t="s">
        <v>37</v>
      </c>
      <c r="E328" s="2" t="s">
        <v>20</v>
      </c>
      <c r="F328" s="2">
        <v>2</v>
      </c>
      <c r="G328" s="2" t="s">
        <v>61</v>
      </c>
      <c r="H328" t="str" cm="1">
        <f t="array" ref="H328:J328">_xlfn.XLOOKUP(C328,Products!A:A,Products!B:D)</f>
        <v>Mechanical Keyboard</v>
      </c>
      <c r="I328" t="str">
        <v>Accessories</v>
      </c>
      <c r="J328">
        <v>89.99</v>
      </c>
      <c r="K328">
        <f t="shared" si="6"/>
        <v>179.98</v>
      </c>
      <c r="Q328" s="8"/>
    </row>
    <row r="329" spans="1:17" ht="14.25" customHeight="1" x14ac:dyDescent="0.3">
      <c r="A329" s="2" t="s">
        <v>377</v>
      </c>
      <c r="B329" s="2" t="s">
        <v>27</v>
      </c>
      <c r="C329" s="2" t="s">
        <v>7</v>
      </c>
      <c r="D329" s="2" t="s">
        <v>41</v>
      </c>
      <c r="E329" s="2" t="s">
        <v>20</v>
      </c>
      <c r="F329" s="2">
        <v>4</v>
      </c>
      <c r="G329" s="2" t="s">
        <v>25</v>
      </c>
      <c r="H329" t="str" cm="1">
        <f t="array" ref="H329:J329">_xlfn.XLOOKUP(C329,Products!A:A,Products!B:D)</f>
        <v>Smartphone X</v>
      </c>
      <c r="I329" t="str">
        <v>Electronics</v>
      </c>
      <c r="J329">
        <v>999.99</v>
      </c>
      <c r="K329">
        <f t="shared" si="6"/>
        <v>0</v>
      </c>
      <c r="Q329" s="8"/>
    </row>
    <row r="330" spans="1:17" ht="14.25" customHeight="1" x14ac:dyDescent="0.3">
      <c r="A330" s="2" t="s">
        <v>378</v>
      </c>
      <c r="B330" s="2" t="s">
        <v>34</v>
      </c>
      <c r="C330" s="2" t="s">
        <v>30</v>
      </c>
      <c r="D330" s="2" t="s">
        <v>37</v>
      </c>
      <c r="E330" s="2" t="s">
        <v>20</v>
      </c>
      <c r="F330" s="2">
        <v>5</v>
      </c>
      <c r="G330" s="2" t="s">
        <v>25</v>
      </c>
      <c r="H330" t="str" cm="1">
        <f t="array" ref="H330:J330">_xlfn.XLOOKUP(C330,Products!A:A,Products!B:D)</f>
        <v>Wireless Headphones</v>
      </c>
      <c r="I330" t="str">
        <v>Accessories</v>
      </c>
      <c r="J330">
        <v>149.99</v>
      </c>
      <c r="K330">
        <f t="shared" si="6"/>
        <v>0</v>
      </c>
      <c r="Q330" s="8"/>
    </row>
    <row r="331" spans="1:17" ht="14.25" customHeight="1" x14ac:dyDescent="0.3">
      <c r="A331" s="2" t="s">
        <v>379</v>
      </c>
      <c r="B331" s="2" t="s">
        <v>54</v>
      </c>
      <c r="C331" s="2" t="s">
        <v>38</v>
      </c>
      <c r="D331" s="2" t="s">
        <v>41</v>
      </c>
      <c r="E331" s="2" t="s">
        <v>20</v>
      </c>
      <c r="F331" s="2">
        <v>2</v>
      </c>
      <c r="G331" s="2" t="s">
        <v>25</v>
      </c>
      <c r="H331" t="str" cm="1">
        <f t="array" ref="H331:J331">_xlfn.XLOOKUP(C331,Products!A:A,Products!B:D)</f>
        <v>Gaming Mouse</v>
      </c>
      <c r="I331" t="str">
        <v>Accessories</v>
      </c>
      <c r="J331">
        <v>49.99</v>
      </c>
      <c r="K331">
        <f t="shared" si="6"/>
        <v>0</v>
      </c>
      <c r="Q331" s="8"/>
    </row>
    <row r="332" spans="1:17" ht="14.25" customHeight="1" x14ac:dyDescent="0.3">
      <c r="A332" s="2" t="s">
        <v>380</v>
      </c>
      <c r="B332" s="2" t="s">
        <v>17</v>
      </c>
      <c r="C332" s="2" t="s">
        <v>43</v>
      </c>
      <c r="D332" s="2" t="s">
        <v>29</v>
      </c>
      <c r="E332" s="2" t="s">
        <v>47</v>
      </c>
      <c r="F332" s="2">
        <v>4</v>
      </c>
      <c r="G332" s="2" t="s">
        <v>25</v>
      </c>
      <c r="H332" t="str" cm="1">
        <f t="array" ref="H332:J332">_xlfn.XLOOKUP(C332,Products!A:A,Products!B:D)</f>
        <v>Bluetooth Speaker</v>
      </c>
      <c r="I332" t="str">
        <v>Accessories</v>
      </c>
      <c r="J332">
        <v>79.989999999999995</v>
      </c>
      <c r="K332">
        <f t="shared" si="6"/>
        <v>0</v>
      </c>
      <c r="Q332" s="8"/>
    </row>
    <row r="333" spans="1:17" ht="14.25" customHeight="1" x14ac:dyDescent="0.3">
      <c r="A333" s="2" t="s">
        <v>381</v>
      </c>
      <c r="B333" s="2" t="s">
        <v>54</v>
      </c>
      <c r="C333" s="2" t="s">
        <v>30</v>
      </c>
      <c r="D333" s="2" t="s">
        <v>41</v>
      </c>
      <c r="E333" s="2" t="s">
        <v>24</v>
      </c>
      <c r="F333" s="2">
        <v>1</v>
      </c>
      <c r="G333" s="2" t="s">
        <v>21</v>
      </c>
      <c r="H333" t="str" cm="1">
        <f t="array" ref="H333:J333">_xlfn.XLOOKUP(C333,Products!A:A,Products!B:D)</f>
        <v>Wireless Headphones</v>
      </c>
      <c r="I333" t="str">
        <v>Accessories</v>
      </c>
      <c r="J333">
        <v>149.99</v>
      </c>
      <c r="K333">
        <f t="shared" si="6"/>
        <v>149.99</v>
      </c>
      <c r="Q333" s="8"/>
    </row>
    <row r="334" spans="1:17" ht="14.25" customHeight="1" x14ac:dyDescent="0.3">
      <c r="A334" s="2" t="s">
        <v>382</v>
      </c>
      <c r="B334" s="2" t="s">
        <v>54</v>
      </c>
      <c r="C334" s="2" t="s">
        <v>7</v>
      </c>
      <c r="D334" s="2" t="s">
        <v>37</v>
      </c>
      <c r="E334" s="2" t="s">
        <v>52</v>
      </c>
      <c r="F334" s="2">
        <v>2</v>
      </c>
      <c r="G334" s="2" t="s">
        <v>25</v>
      </c>
      <c r="H334" t="str" cm="1">
        <f t="array" ref="H334:J334">_xlfn.XLOOKUP(C334,Products!A:A,Products!B:D)</f>
        <v>Smartphone X</v>
      </c>
      <c r="I334" t="str">
        <v>Electronics</v>
      </c>
      <c r="J334">
        <v>999.99</v>
      </c>
      <c r="K334">
        <f t="shared" si="6"/>
        <v>0</v>
      </c>
      <c r="Q334" s="8"/>
    </row>
    <row r="335" spans="1:17" ht="14.25" customHeight="1" x14ac:dyDescent="0.3">
      <c r="A335" s="2" t="s">
        <v>383</v>
      </c>
      <c r="B335" s="2" t="s">
        <v>56</v>
      </c>
      <c r="C335" s="2" t="s">
        <v>23</v>
      </c>
      <c r="D335" s="2" t="s">
        <v>29</v>
      </c>
      <c r="E335" s="2" t="s">
        <v>20</v>
      </c>
      <c r="F335" s="2">
        <v>2</v>
      </c>
      <c r="G335" s="2" t="s">
        <v>25</v>
      </c>
      <c r="H335" t="str" cm="1">
        <f t="array" ref="H335:J335">_xlfn.XLOOKUP(C335,Products!A:A,Products!B:D)</f>
        <v>4K Monitor</v>
      </c>
      <c r="I335" t="str">
        <v>Electronics</v>
      </c>
      <c r="J335">
        <v>349.99</v>
      </c>
      <c r="K335">
        <f t="shared" si="6"/>
        <v>0</v>
      </c>
      <c r="Q335" s="8"/>
    </row>
    <row r="336" spans="1:17" ht="14.25" customHeight="1" x14ac:dyDescent="0.3">
      <c r="A336" s="2" t="s">
        <v>384</v>
      </c>
      <c r="B336" s="2" t="s">
        <v>34</v>
      </c>
      <c r="C336" s="2" t="s">
        <v>23</v>
      </c>
      <c r="D336" s="2" t="s">
        <v>41</v>
      </c>
      <c r="E336" s="2" t="s">
        <v>47</v>
      </c>
      <c r="F336" s="2">
        <v>1</v>
      </c>
      <c r="G336" s="2" t="s">
        <v>21</v>
      </c>
      <c r="H336" t="str" cm="1">
        <f t="array" ref="H336:J336">_xlfn.XLOOKUP(C336,Products!A:A,Products!B:D)</f>
        <v>4K Monitor</v>
      </c>
      <c r="I336" t="str">
        <v>Electronics</v>
      </c>
      <c r="J336">
        <v>349.99</v>
      </c>
      <c r="K336">
        <f t="shared" si="6"/>
        <v>349.99</v>
      </c>
      <c r="Q336" s="8"/>
    </row>
    <row r="337" spans="1:17" ht="14.25" customHeight="1" x14ac:dyDescent="0.3">
      <c r="A337" s="2" t="s">
        <v>385</v>
      </c>
      <c r="B337" s="2" t="s">
        <v>27</v>
      </c>
      <c r="C337" s="2" t="s">
        <v>35</v>
      </c>
      <c r="D337" s="2" t="s">
        <v>37</v>
      </c>
      <c r="E337" s="2" t="s">
        <v>47</v>
      </c>
      <c r="F337" s="2">
        <v>2</v>
      </c>
      <c r="G337" s="2" t="s">
        <v>25</v>
      </c>
      <c r="H337" t="str" cm="1">
        <f t="array" ref="H337:J337">_xlfn.XLOOKUP(C337,Products!A:A,Products!B:D)</f>
        <v>Mechanical Keyboard</v>
      </c>
      <c r="I337" t="str">
        <v>Accessories</v>
      </c>
      <c r="J337">
        <v>89.99</v>
      </c>
      <c r="K337">
        <f t="shared" si="6"/>
        <v>0</v>
      </c>
      <c r="Q337" s="8"/>
    </row>
    <row r="338" spans="1:17" ht="14.25" customHeight="1" x14ac:dyDescent="0.3">
      <c r="A338" s="2" t="s">
        <v>386</v>
      </c>
      <c r="B338" s="2" t="s">
        <v>34</v>
      </c>
      <c r="C338" s="2" t="s">
        <v>43</v>
      </c>
      <c r="D338" s="2" t="s">
        <v>60</v>
      </c>
      <c r="E338" s="2" t="s">
        <v>52</v>
      </c>
      <c r="F338" s="2">
        <v>2</v>
      </c>
      <c r="G338" s="2" t="s">
        <v>61</v>
      </c>
      <c r="H338" t="str" cm="1">
        <f t="array" ref="H338:J338">_xlfn.XLOOKUP(C338,Products!A:A,Products!B:D)</f>
        <v>Bluetooth Speaker</v>
      </c>
      <c r="I338" t="str">
        <v>Accessories</v>
      </c>
      <c r="J338">
        <v>79.989999999999995</v>
      </c>
      <c r="K338">
        <f t="shared" si="6"/>
        <v>159.97999999999999</v>
      </c>
      <c r="Q338" s="8"/>
    </row>
    <row r="339" spans="1:17" ht="14.25" customHeight="1" x14ac:dyDescent="0.3">
      <c r="A339" s="2" t="s">
        <v>387</v>
      </c>
      <c r="B339" s="2" t="s">
        <v>56</v>
      </c>
      <c r="C339" s="2" t="s">
        <v>38</v>
      </c>
      <c r="D339" s="2" t="s">
        <v>41</v>
      </c>
      <c r="E339" s="2" t="s">
        <v>20</v>
      </c>
      <c r="F339" s="2">
        <v>3</v>
      </c>
      <c r="G339" s="2" t="s">
        <v>21</v>
      </c>
      <c r="H339" t="str" cm="1">
        <f t="array" ref="H339:J339">_xlfn.XLOOKUP(C339,Products!A:A,Products!B:D)</f>
        <v>Gaming Mouse</v>
      </c>
      <c r="I339" t="str">
        <v>Accessories</v>
      </c>
      <c r="J339">
        <v>49.99</v>
      </c>
      <c r="K339">
        <f t="shared" si="6"/>
        <v>149.97</v>
      </c>
      <c r="Q339" s="8"/>
    </row>
    <row r="340" spans="1:17" ht="14.25" customHeight="1" x14ac:dyDescent="0.3">
      <c r="A340" s="2" t="s">
        <v>388</v>
      </c>
      <c r="B340" s="2" t="s">
        <v>27</v>
      </c>
      <c r="C340" s="2" t="s">
        <v>46</v>
      </c>
      <c r="D340" s="2" t="s">
        <v>37</v>
      </c>
      <c r="E340" s="2" t="s">
        <v>20</v>
      </c>
      <c r="F340" s="2">
        <v>2</v>
      </c>
      <c r="G340" s="2" t="s">
        <v>25</v>
      </c>
      <c r="H340" t="str" cm="1">
        <f t="array" ref="H340:J340">_xlfn.XLOOKUP(C340,Products!A:A,Products!B:D)</f>
        <v>Ergonomic Chair</v>
      </c>
      <c r="I340" t="str">
        <v>Furniture</v>
      </c>
      <c r="J340">
        <v>249.99</v>
      </c>
      <c r="K340">
        <f t="shared" si="6"/>
        <v>0</v>
      </c>
      <c r="Q340" s="8"/>
    </row>
    <row r="341" spans="1:17" ht="14.25" customHeight="1" x14ac:dyDescent="0.3">
      <c r="A341" s="2" t="s">
        <v>389</v>
      </c>
      <c r="B341" s="2" t="s">
        <v>17</v>
      </c>
      <c r="C341" s="2" t="s">
        <v>30</v>
      </c>
      <c r="D341" s="2" t="s">
        <v>60</v>
      </c>
      <c r="E341" s="2" t="s">
        <v>47</v>
      </c>
      <c r="F341" s="2">
        <v>2</v>
      </c>
      <c r="G341" s="2" t="s">
        <v>61</v>
      </c>
      <c r="H341" t="str" cm="1">
        <f t="array" ref="H341:J341">_xlfn.XLOOKUP(C341,Products!A:A,Products!B:D)</f>
        <v>Wireless Headphones</v>
      </c>
      <c r="I341" t="str">
        <v>Accessories</v>
      </c>
      <c r="J341">
        <v>149.99</v>
      </c>
      <c r="K341">
        <f t="shared" si="6"/>
        <v>299.98</v>
      </c>
      <c r="Q341" s="8"/>
    </row>
    <row r="342" spans="1:17" ht="14.25" customHeight="1" x14ac:dyDescent="0.3">
      <c r="A342" s="2" t="s">
        <v>390</v>
      </c>
      <c r="B342" s="2" t="s">
        <v>54</v>
      </c>
      <c r="C342" s="2" t="s">
        <v>30</v>
      </c>
      <c r="D342" s="2" t="s">
        <v>19</v>
      </c>
      <c r="E342" s="2" t="s">
        <v>47</v>
      </c>
      <c r="F342" s="2">
        <v>5</v>
      </c>
      <c r="G342" s="2" t="s">
        <v>21</v>
      </c>
      <c r="H342" t="str" cm="1">
        <f t="array" ref="H342:J342">_xlfn.XLOOKUP(C342,Products!A:A,Products!B:D)</f>
        <v>Wireless Headphones</v>
      </c>
      <c r="I342" t="str">
        <v>Accessories</v>
      </c>
      <c r="J342">
        <v>149.99</v>
      </c>
      <c r="K342">
        <f t="shared" si="6"/>
        <v>749.95</v>
      </c>
      <c r="Q342" s="8"/>
    </row>
    <row r="343" spans="1:17" ht="14.25" customHeight="1" x14ac:dyDescent="0.3">
      <c r="A343" s="2" t="s">
        <v>391</v>
      </c>
      <c r="B343" s="2" t="s">
        <v>58</v>
      </c>
      <c r="C343" s="2" t="s">
        <v>7</v>
      </c>
      <c r="D343" s="2" t="s">
        <v>37</v>
      </c>
      <c r="E343" s="2" t="s">
        <v>20</v>
      </c>
      <c r="F343" s="2">
        <v>4</v>
      </c>
      <c r="G343" s="2" t="s">
        <v>21</v>
      </c>
      <c r="H343" t="str" cm="1">
        <f t="array" ref="H343:J343">_xlfn.XLOOKUP(C343,Products!A:A,Products!B:D)</f>
        <v>Smartphone X</v>
      </c>
      <c r="I343" t="str">
        <v>Electronics</v>
      </c>
      <c r="J343">
        <v>999.99</v>
      </c>
      <c r="K343">
        <f t="shared" si="6"/>
        <v>3999.96</v>
      </c>
      <c r="Q343" s="8"/>
    </row>
    <row r="344" spans="1:17" ht="14.25" customHeight="1" x14ac:dyDescent="0.3">
      <c r="A344" s="2" t="s">
        <v>392</v>
      </c>
      <c r="B344" s="2" t="s">
        <v>17</v>
      </c>
      <c r="C344" s="2" t="s">
        <v>7</v>
      </c>
      <c r="D344" s="2" t="s">
        <v>41</v>
      </c>
      <c r="E344" s="2" t="s">
        <v>47</v>
      </c>
      <c r="F344" s="2">
        <v>2</v>
      </c>
      <c r="G344" s="2" t="s">
        <v>61</v>
      </c>
      <c r="H344" t="str" cm="1">
        <f t="array" ref="H344:J344">_xlfn.XLOOKUP(C344,Products!A:A,Products!B:D)</f>
        <v>Smartphone X</v>
      </c>
      <c r="I344" t="str">
        <v>Electronics</v>
      </c>
      <c r="J344">
        <v>999.99</v>
      </c>
      <c r="K344">
        <f t="shared" si="6"/>
        <v>1999.98</v>
      </c>
      <c r="Q344" s="8"/>
    </row>
    <row r="345" spans="1:17" ht="14.25" customHeight="1" x14ac:dyDescent="0.3">
      <c r="A345" s="2" t="s">
        <v>393</v>
      </c>
      <c r="B345" s="2" t="s">
        <v>27</v>
      </c>
      <c r="C345" s="2" t="s">
        <v>30</v>
      </c>
      <c r="D345" s="2" t="s">
        <v>41</v>
      </c>
      <c r="E345" s="2" t="s">
        <v>47</v>
      </c>
      <c r="F345" s="2">
        <v>3</v>
      </c>
      <c r="G345" s="2" t="s">
        <v>21</v>
      </c>
      <c r="H345" t="str" cm="1">
        <f t="array" ref="H345:J345">_xlfn.XLOOKUP(C345,Products!A:A,Products!B:D)</f>
        <v>Wireless Headphones</v>
      </c>
      <c r="I345" t="str">
        <v>Accessories</v>
      </c>
      <c r="J345">
        <v>149.99</v>
      </c>
      <c r="K345">
        <f t="shared" si="6"/>
        <v>449.97</v>
      </c>
      <c r="Q345" s="8"/>
    </row>
    <row r="346" spans="1:17" ht="14.25" customHeight="1" x14ac:dyDescent="0.3">
      <c r="A346" s="2" t="s">
        <v>394</v>
      </c>
      <c r="B346" s="2" t="s">
        <v>27</v>
      </c>
      <c r="C346" s="2" t="s">
        <v>7</v>
      </c>
      <c r="D346" s="2" t="s">
        <v>41</v>
      </c>
      <c r="E346" s="2" t="s">
        <v>20</v>
      </c>
      <c r="F346" s="2">
        <v>5</v>
      </c>
      <c r="G346" s="2" t="s">
        <v>21</v>
      </c>
      <c r="H346" t="str" cm="1">
        <f t="array" ref="H346:J346">_xlfn.XLOOKUP(C346,Products!A:A,Products!B:D)</f>
        <v>Smartphone X</v>
      </c>
      <c r="I346" t="str">
        <v>Electronics</v>
      </c>
      <c r="J346">
        <v>999.99</v>
      </c>
      <c r="K346">
        <f t="shared" si="6"/>
        <v>4999.95</v>
      </c>
      <c r="Q346" s="8"/>
    </row>
    <row r="347" spans="1:17" ht="14.25" customHeight="1" x14ac:dyDescent="0.3">
      <c r="A347" s="2" t="s">
        <v>395</v>
      </c>
      <c r="B347" s="2" t="s">
        <v>54</v>
      </c>
      <c r="C347" s="2" t="s">
        <v>38</v>
      </c>
      <c r="D347" s="2" t="s">
        <v>29</v>
      </c>
      <c r="E347" s="2" t="s">
        <v>47</v>
      </c>
      <c r="F347" s="2">
        <v>2</v>
      </c>
      <c r="G347" s="2" t="s">
        <v>61</v>
      </c>
      <c r="H347" t="str" cm="1">
        <f t="array" ref="H347:J347">_xlfn.XLOOKUP(C347,Products!A:A,Products!B:D)</f>
        <v>Gaming Mouse</v>
      </c>
      <c r="I347" t="str">
        <v>Accessories</v>
      </c>
      <c r="J347">
        <v>49.99</v>
      </c>
      <c r="K347">
        <f t="shared" si="6"/>
        <v>99.98</v>
      </c>
      <c r="Q347" s="8"/>
    </row>
    <row r="348" spans="1:17" ht="14.25" customHeight="1" x14ac:dyDescent="0.3">
      <c r="A348" s="2" t="s">
        <v>396</v>
      </c>
      <c r="B348" s="2" t="s">
        <v>17</v>
      </c>
      <c r="C348" s="2" t="s">
        <v>23</v>
      </c>
      <c r="D348" s="2" t="s">
        <v>60</v>
      </c>
      <c r="E348" s="2" t="s">
        <v>24</v>
      </c>
      <c r="F348" s="2">
        <v>4</v>
      </c>
      <c r="G348" s="2" t="s">
        <v>21</v>
      </c>
      <c r="H348" t="str" cm="1">
        <f t="array" ref="H348:J348">_xlfn.XLOOKUP(C348,Products!A:A,Products!B:D)</f>
        <v>4K Monitor</v>
      </c>
      <c r="I348" t="str">
        <v>Electronics</v>
      </c>
      <c r="J348">
        <v>349.99</v>
      </c>
      <c r="K348">
        <f t="shared" si="6"/>
        <v>1399.96</v>
      </c>
      <c r="Q348" s="8"/>
    </row>
    <row r="349" spans="1:17" ht="14.25" customHeight="1" x14ac:dyDescent="0.3">
      <c r="A349" s="2" t="s">
        <v>397</v>
      </c>
      <c r="B349" s="2" t="s">
        <v>27</v>
      </c>
      <c r="C349" s="2" t="s">
        <v>46</v>
      </c>
      <c r="D349" s="2" t="s">
        <v>37</v>
      </c>
      <c r="E349" s="2" t="s">
        <v>47</v>
      </c>
      <c r="F349" s="2">
        <v>1</v>
      </c>
      <c r="G349" s="2" t="s">
        <v>21</v>
      </c>
      <c r="H349" t="str" cm="1">
        <f t="array" ref="H349:J349">_xlfn.XLOOKUP(C349,Products!A:A,Products!B:D)</f>
        <v>Ergonomic Chair</v>
      </c>
      <c r="I349" t="str">
        <v>Furniture</v>
      </c>
      <c r="J349">
        <v>249.99</v>
      </c>
      <c r="K349">
        <f t="shared" si="6"/>
        <v>249.99</v>
      </c>
      <c r="Q349" s="8"/>
    </row>
    <row r="350" spans="1:17" ht="14.25" customHeight="1" x14ac:dyDescent="0.3">
      <c r="A350" s="2" t="s">
        <v>398</v>
      </c>
      <c r="B350" s="2" t="s">
        <v>56</v>
      </c>
      <c r="C350" s="2" t="s">
        <v>30</v>
      </c>
      <c r="D350" s="2" t="s">
        <v>60</v>
      </c>
      <c r="E350" s="2" t="s">
        <v>52</v>
      </c>
      <c r="F350" s="2">
        <v>5</v>
      </c>
      <c r="G350" s="2" t="s">
        <v>21</v>
      </c>
      <c r="H350" t="str" cm="1">
        <f t="array" ref="H350:J350">_xlfn.XLOOKUP(C350,Products!A:A,Products!B:D)</f>
        <v>Wireless Headphones</v>
      </c>
      <c r="I350" t="str">
        <v>Accessories</v>
      </c>
      <c r="J350">
        <v>149.99</v>
      </c>
      <c r="K350">
        <f t="shared" si="6"/>
        <v>749.95</v>
      </c>
      <c r="Q350" s="8"/>
    </row>
    <row r="351" spans="1:17" ht="14.25" customHeight="1" x14ac:dyDescent="0.3">
      <c r="A351" s="2" t="s">
        <v>399</v>
      </c>
      <c r="B351" s="2" t="s">
        <v>56</v>
      </c>
      <c r="C351" s="2" t="s">
        <v>7</v>
      </c>
      <c r="D351" s="2" t="s">
        <v>29</v>
      </c>
      <c r="E351" s="2" t="s">
        <v>52</v>
      </c>
      <c r="F351" s="2">
        <v>5</v>
      </c>
      <c r="G351" s="2" t="s">
        <v>25</v>
      </c>
      <c r="H351" t="str" cm="1">
        <f t="array" ref="H351:J351">_xlfn.XLOOKUP(C351,Products!A:A,Products!B:D)</f>
        <v>Smartphone X</v>
      </c>
      <c r="I351" t="str">
        <v>Electronics</v>
      </c>
      <c r="J351">
        <v>999.99</v>
      </c>
      <c r="K351">
        <f t="shared" si="6"/>
        <v>0</v>
      </c>
      <c r="Q351" s="8"/>
    </row>
    <row r="352" spans="1:17" ht="14.25" customHeight="1" x14ac:dyDescent="0.3">
      <c r="A352" s="2" t="s">
        <v>400</v>
      </c>
      <c r="B352" s="2" t="s">
        <v>58</v>
      </c>
      <c r="C352" s="2" t="s">
        <v>30</v>
      </c>
      <c r="D352" s="2" t="s">
        <v>19</v>
      </c>
      <c r="E352" s="2" t="s">
        <v>52</v>
      </c>
      <c r="F352" s="2">
        <v>5</v>
      </c>
      <c r="G352" s="2" t="s">
        <v>21</v>
      </c>
      <c r="H352" t="str" cm="1">
        <f t="array" ref="H352:J352">_xlfn.XLOOKUP(C352,Products!A:A,Products!B:D)</f>
        <v>Wireless Headphones</v>
      </c>
      <c r="I352" t="str">
        <v>Accessories</v>
      </c>
      <c r="J352">
        <v>149.99</v>
      </c>
      <c r="K352">
        <f t="shared" si="6"/>
        <v>749.95</v>
      </c>
      <c r="Q352" s="8"/>
    </row>
    <row r="353" spans="1:17" ht="14.25" customHeight="1" x14ac:dyDescent="0.3">
      <c r="A353" s="2" t="s">
        <v>401</v>
      </c>
      <c r="B353" s="2" t="s">
        <v>56</v>
      </c>
      <c r="C353" s="2" t="s">
        <v>38</v>
      </c>
      <c r="D353" s="2" t="s">
        <v>41</v>
      </c>
      <c r="E353" s="2" t="s">
        <v>24</v>
      </c>
      <c r="F353" s="2">
        <v>3</v>
      </c>
      <c r="G353" s="2" t="s">
        <v>21</v>
      </c>
      <c r="H353" t="str" cm="1">
        <f t="array" ref="H353:J353">_xlfn.XLOOKUP(C353,Products!A:A,Products!B:D)</f>
        <v>Gaming Mouse</v>
      </c>
      <c r="I353" t="str">
        <v>Accessories</v>
      </c>
      <c r="J353">
        <v>49.99</v>
      </c>
      <c r="K353">
        <f t="shared" si="6"/>
        <v>149.97</v>
      </c>
      <c r="Q353" s="8"/>
    </row>
    <row r="354" spans="1:17" ht="14.25" customHeight="1" x14ac:dyDescent="0.3">
      <c r="A354" s="2" t="s">
        <v>402</v>
      </c>
      <c r="B354" s="2" t="s">
        <v>54</v>
      </c>
      <c r="C354" s="2" t="s">
        <v>23</v>
      </c>
      <c r="D354" s="2" t="s">
        <v>60</v>
      </c>
      <c r="E354" s="2" t="s">
        <v>24</v>
      </c>
      <c r="F354" s="2">
        <v>3</v>
      </c>
      <c r="G354" s="2" t="s">
        <v>25</v>
      </c>
      <c r="H354" t="str" cm="1">
        <f t="array" ref="H354:J354">_xlfn.XLOOKUP(C354,Products!A:A,Products!B:D)</f>
        <v>4K Monitor</v>
      </c>
      <c r="I354" t="str">
        <v>Electronics</v>
      </c>
      <c r="J354">
        <v>349.99</v>
      </c>
      <c r="K354">
        <f t="shared" si="6"/>
        <v>0</v>
      </c>
      <c r="Q354" s="8"/>
    </row>
    <row r="355" spans="1:17" ht="14.25" customHeight="1" x14ac:dyDescent="0.3">
      <c r="A355" s="2" t="s">
        <v>403</v>
      </c>
      <c r="B355" s="2" t="s">
        <v>34</v>
      </c>
      <c r="C355" s="2" t="s">
        <v>38</v>
      </c>
      <c r="D355" s="2" t="s">
        <v>29</v>
      </c>
      <c r="E355" s="2" t="s">
        <v>52</v>
      </c>
      <c r="F355" s="2">
        <v>5</v>
      </c>
      <c r="G355" s="2" t="s">
        <v>21</v>
      </c>
      <c r="H355" t="str" cm="1">
        <f t="array" ref="H355:J355">_xlfn.XLOOKUP(C355,Products!A:A,Products!B:D)</f>
        <v>Gaming Mouse</v>
      </c>
      <c r="I355" t="str">
        <v>Accessories</v>
      </c>
      <c r="J355">
        <v>49.99</v>
      </c>
      <c r="K355">
        <f t="shared" si="6"/>
        <v>249.95000000000002</v>
      </c>
      <c r="Q355" s="8"/>
    </row>
    <row r="356" spans="1:17" ht="14.25" customHeight="1" x14ac:dyDescent="0.3">
      <c r="A356" s="2" t="s">
        <v>404</v>
      </c>
      <c r="B356" s="2" t="s">
        <v>27</v>
      </c>
      <c r="C356" s="2" t="s">
        <v>35</v>
      </c>
      <c r="D356" s="2" t="s">
        <v>19</v>
      </c>
      <c r="E356" s="2" t="s">
        <v>20</v>
      </c>
      <c r="F356" s="2">
        <v>2</v>
      </c>
      <c r="G356" s="2" t="s">
        <v>21</v>
      </c>
      <c r="H356" t="str" cm="1">
        <f t="array" ref="H356:J356">_xlfn.XLOOKUP(C356,Products!A:A,Products!B:D)</f>
        <v>Mechanical Keyboard</v>
      </c>
      <c r="I356" t="str">
        <v>Accessories</v>
      </c>
      <c r="J356">
        <v>89.99</v>
      </c>
      <c r="K356">
        <f t="shared" si="6"/>
        <v>179.98</v>
      </c>
      <c r="Q356" s="8"/>
    </row>
    <row r="357" spans="1:17" ht="14.25" customHeight="1" x14ac:dyDescent="0.3">
      <c r="A357" s="2" t="s">
        <v>405</v>
      </c>
      <c r="B357" s="2" t="s">
        <v>34</v>
      </c>
      <c r="C357" s="2" t="s">
        <v>23</v>
      </c>
      <c r="D357" s="2" t="s">
        <v>41</v>
      </c>
      <c r="E357" s="2" t="s">
        <v>20</v>
      </c>
      <c r="F357" s="2">
        <v>2</v>
      </c>
      <c r="G357" s="2" t="s">
        <v>21</v>
      </c>
      <c r="H357" t="str" cm="1">
        <f t="array" ref="H357:J357">_xlfn.XLOOKUP(C357,Products!A:A,Products!B:D)</f>
        <v>4K Monitor</v>
      </c>
      <c r="I357" t="str">
        <v>Electronics</v>
      </c>
      <c r="J357">
        <v>349.99</v>
      </c>
      <c r="K357">
        <f t="shared" si="6"/>
        <v>699.98</v>
      </c>
      <c r="Q357" s="8"/>
    </row>
    <row r="358" spans="1:17" ht="14.25" customHeight="1" x14ac:dyDescent="0.3">
      <c r="A358" s="2" t="s">
        <v>406</v>
      </c>
      <c r="B358" s="2" t="s">
        <v>27</v>
      </c>
      <c r="C358" s="2" t="s">
        <v>35</v>
      </c>
      <c r="D358" s="2" t="s">
        <v>37</v>
      </c>
      <c r="E358" s="2" t="s">
        <v>20</v>
      </c>
      <c r="F358" s="2">
        <v>3</v>
      </c>
      <c r="G358" s="2" t="s">
        <v>21</v>
      </c>
      <c r="H358" t="str" cm="1">
        <f t="array" ref="H358:J358">_xlfn.XLOOKUP(C358,Products!A:A,Products!B:D)</f>
        <v>Mechanical Keyboard</v>
      </c>
      <c r="I358" t="str">
        <v>Accessories</v>
      </c>
      <c r="J358">
        <v>89.99</v>
      </c>
      <c r="K358">
        <f t="shared" si="6"/>
        <v>269.96999999999997</v>
      </c>
      <c r="Q358" s="8"/>
    </row>
    <row r="359" spans="1:17" ht="14.25" customHeight="1" x14ac:dyDescent="0.3">
      <c r="A359" s="2" t="s">
        <v>407</v>
      </c>
      <c r="B359" s="2" t="s">
        <v>58</v>
      </c>
      <c r="C359" s="2" t="s">
        <v>7</v>
      </c>
      <c r="D359" s="2" t="s">
        <v>41</v>
      </c>
      <c r="E359" s="2" t="s">
        <v>20</v>
      </c>
      <c r="F359" s="2">
        <v>3</v>
      </c>
      <c r="G359" s="2" t="s">
        <v>21</v>
      </c>
      <c r="H359" t="str" cm="1">
        <f t="array" ref="H359:J359">_xlfn.XLOOKUP(C359,Products!A:A,Products!B:D)</f>
        <v>Smartphone X</v>
      </c>
      <c r="I359" t="str">
        <v>Electronics</v>
      </c>
      <c r="J359">
        <v>999.99</v>
      </c>
      <c r="K359">
        <f t="shared" si="6"/>
        <v>2999.9700000000003</v>
      </c>
      <c r="Q359" s="8"/>
    </row>
    <row r="360" spans="1:17" ht="14.25" customHeight="1" x14ac:dyDescent="0.3">
      <c r="A360" s="2" t="s">
        <v>408</v>
      </c>
      <c r="B360" s="2" t="s">
        <v>56</v>
      </c>
      <c r="C360" s="2" t="s">
        <v>35</v>
      </c>
      <c r="D360" s="2" t="s">
        <v>29</v>
      </c>
      <c r="E360" s="2" t="s">
        <v>20</v>
      </c>
      <c r="F360" s="2">
        <v>2</v>
      </c>
      <c r="G360" s="2" t="s">
        <v>21</v>
      </c>
      <c r="H360" t="str" cm="1">
        <f t="array" ref="H360:J360">_xlfn.XLOOKUP(C360,Products!A:A,Products!B:D)</f>
        <v>Mechanical Keyboard</v>
      </c>
      <c r="I360" t="str">
        <v>Accessories</v>
      </c>
      <c r="J360">
        <v>89.99</v>
      </c>
      <c r="K360">
        <f t="shared" si="6"/>
        <v>179.98</v>
      </c>
      <c r="Q360" s="8"/>
    </row>
    <row r="361" spans="1:17" ht="14.25" customHeight="1" x14ac:dyDescent="0.3">
      <c r="A361" s="2" t="s">
        <v>409</v>
      </c>
      <c r="B361" s="2" t="s">
        <v>58</v>
      </c>
      <c r="C361" s="2" t="s">
        <v>38</v>
      </c>
      <c r="D361" s="2" t="s">
        <v>37</v>
      </c>
      <c r="E361" s="2" t="s">
        <v>20</v>
      </c>
      <c r="F361" s="2">
        <v>1</v>
      </c>
      <c r="G361" s="2" t="s">
        <v>21</v>
      </c>
      <c r="H361" t="str" cm="1">
        <f t="array" ref="H361:J361">_xlfn.XLOOKUP(C361,Products!A:A,Products!B:D)</f>
        <v>Gaming Mouse</v>
      </c>
      <c r="I361" t="str">
        <v>Accessories</v>
      </c>
      <c r="J361">
        <v>49.99</v>
      </c>
      <c r="K361">
        <f t="shared" si="6"/>
        <v>49.99</v>
      </c>
      <c r="Q361" s="8"/>
    </row>
    <row r="362" spans="1:17" ht="14.25" customHeight="1" x14ac:dyDescent="0.3">
      <c r="A362" s="2" t="s">
        <v>410</v>
      </c>
      <c r="B362" s="2" t="s">
        <v>34</v>
      </c>
      <c r="C362" s="2" t="s">
        <v>43</v>
      </c>
      <c r="D362" s="2" t="s">
        <v>41</v>
      </c>
      <c r="E362" s="2" t="s">
        <v>47</v>
      </c>
      <c r="F362" s="2">
        <v>2</v>
      </c>
      <c r="G362" s="2" t="s">
        <v>21</v>
      </c>
      <c r="H362" t="str" cm="1">
        <f t="array" ref="H362:J362">_xlfn.XLOOKUP(C362,Products!A:A,Products!B:D)</f>
        <v>Bluetooth Speaker</v>
      </c>
      <c r="I362" t="str">
        <v>Accessories</v>
      </c>
      <c r="J362">
        <v>79.989999999999995</v>
      </c>
      <c r="K362">
        <f t="shared" si="6"/>
        <v>159.97999999999999</v>
      </c>
      <c r="Q362" s="8"/>
    </row>
    <row r="363" spans="1:17" ht="14.25" customHeight="1" x14ac:dyDescent="0.3">
      <c r="A363" s="2" t="s">
        <v>411</v>
      </c>
      <c r="B363" s="2" t="s">
        <v>54</v>
      </c>
      <c r="C363" s="2" t="s">
        <v>18</v>
      </c>
      <c r="D363" s="2" t="s">
        <v>19</v>
      </c>
      <c r="E363" s="2" t="s">
        <v>47</v>
      </c>
      <c r="F363" s="2">
        <v>5</v>
      </c>
      <c r="G363" s="2" t="s">
        <v>61</v>
      </c>
      <c r="H363" t="str" cm="1">
        <f t="array" ref="H363:J363">_xlfn.XLOOKUP(C363,Products!A:A,Products!B:D)</f>
        <v>Tablet Air</v>
      </c>
      <c r="I363" t="str">
        <v>Electronics</v>
      </c>
      <c r="J363">
        <v>499.99</v>
      </c>
      <c r="K363">
        <f t="shared" si="6"/>
        <v>2499.9499999999998</v>
      </c>
      <c r="Q363" s="8"/>
    </row>
    <row r="364" spans="1:17" ht="14.25" customHeight="1" x14ac:dyDescent="0.3">
      <c r="A364" s="2" t="s">
        <v>412</v>
      </c>
      <c r="B364" s="2" t="s">
        <v>58</v>
      </c>
      <c r="C364" s="2" t="s">
        <v>18</v>
      </c>
      <c r="D364" s="2" t="s">
        <v>37</v>
      </c>
      <c r="E364" s="2" t="s">
        <v>24</v>
      </c>
      <c r="F364" s="2">
        <v>3</v>
      </c>
      <c r="G364" s="2" t="s">
        <v>25</v>
      </c>
      <c r="H364" t="str" cm="1">
        <f t="array" ref="H364:J364">_xlfn.XLOOKUP(C364,Products!A:A,Products!B:D)</f>
        <v>Tablet Air</v>
      </c>
      <c r="I364" t="str">
        <v>Electronics</v>
      </c>
      <c r="J364">
        <v>499.99</v>
      </c>
      <c r="K364">
        <f t="shared" si="6"/>
        <v>0</v>
      </c>
      <c r="Q364" s="8"/>
    </row>
    <row r="365" spans="1:17" ht="14.25" customHeight="1" x14ac:dyDescent="0.3">
      <c r="A365" s="2" t="s">
        <v>413</v>
      </c>
      <c r="B365" s="2" t="s">
        <v>58</v>
      </c>
      <c r="C365" s="2" t="s">
        <v>30</v>
      </c>
      <c r="D365" s="2" t="s">
        <v>41</v>
      </c>
      <c r="E365" s="2" t="s">
        <v>20</v>
      </c>
      <c r="F365" s="2">
        <v>3</v>
      </c>
      <c r="G365" s="2" t="s">
        <v>21</v>
      </c>
      <c r="H365" t="str" cm="1">
        <f t="array" ref="H365:J365">_xlfn.XLOOKUP(C365,Products!A:A,Products!B:D)</f>
        <v>Wireless Headphones</v>
      </c>
      <c r="I365" t="str">
        <v>Accessories</v>
      </c>
      <c r="J365">
        <v>149.99</v>
      </c>
      <c r="K365">
        <f t="shared" si="6"/>
        <v>449.97</v>
      </c>
      <c r="Q365" s="8"/>
    </row>
    <row r="366" spans="1:17" ht="14.25" customHeight="1" x14ac:dyDescent="0.3">
      <c r="A366" s="2" t="s">
        <v>414</v>
      </c>
      <c r="B366" s="2" t="s">
        <v>54</v>
      </c>
      <c r="C366" s="2" t="s">
        <v>7</v>
      </c>
      <c r="D366" s="2" t="s">
        <v>29</v>
      </c>
      <c r="E366" s="2" t="s">
        <v>20</v>
      </c>
      <c r="F366" s="2">
        <v>3</v>
      </c>
      <c r="G366" s="2" t="s">
        <v>21</v>
      </c>
      <c r="H366" t="str" cm="1">
        <f t="array" ref="H366:J366">_xlfn.XLOOKUP(C366,Products!A:A,Products!B:D)</f>
        <v>Smartphone X</v>
      </c>
      <c r="I366" t="str">
        <v>Electronics</v>
      </c>
      <c r="J366">
        <v>999.99</v>
      </c>
      <c r="K366">
        <f t="shared" si="6"/>
        <v>2999.9700000000003</v>
      </c>
      <c r="Q366" s="8"/>
    </row>
    <row r="367" spans="1:17" ht="14.25" customHeight="1" x14ac:dyDescent="0.3">
      <c r="A367" s="2" t="s">
        <v>415</v>
      </c>
      <c r="B367" s="2" t="s">
        <v>58</v>
      </c>
      <c r="C367" s="2" t="s">
        <v>35</v>
      </c>
      <c r="D367" s="2" t="s">
        <v>41</v>
      </c>
      <c r="E367" s="2" t="s">
        <v>24</v>
      </c>
      <c r="F367" s="2">
        <v>4</v>
      </c>
      <c r="G367" s="2" t="s">
        <v>25</v>
      </c>
      <c r="H367" t="str" cm="1">
        <f t="array" ref="H367:J367">_xlfn.XLOOKUP(C367,Products!A:A,Products!B:D)</f>
        <v>Mechanical Keyboard</v>
      </c>
      <c r="I367" t="str">
        <v>Accessories</v>
      </c>
      <c r="J367">
        <v>89.99</v>
      </c>
      <c r="K367">
        <f t="shared" si="6"/>
        <v>0</v>
      </c>
      <c r="Q367" s="8"/>
    </row>
    <row r="368" spans="1:17" ht="14.25" customHeight="1" x14ac:dyDescent="0.3">
      <c r="A368" s="2" t="s">
        <v>416</v>
      </c>
      <c r="B368" s="2" t="s">
        <v>27</v>
      </c>
      <c r="C368" s="2" t="s">
        <v>23</v>
      </c>
      <c r="D368" s="2" t="s">
        <v>19</v>
      </c>
      <c r="E368" s="2" t="s">
        <v>24</v>
      </c>
      <c r="F368" s="2">
        <v>4</v>
      </c>
      <c r="G368" s="2" t="s">
        <v>21</v>
      </c>
      <c r="H368" t="str" cm="1">
        <f t="array" ref="H368:J368">_xlfn.XLOOKUP(C368,Products!A:A,Products!B:D)</f>
        <v>4K Monitor</v>
      </c>
      <c r="I368" t="str">
        <v>Electronics</v>
      </c>
      <c r="J368">
        <v>349.99</v>
      </c>
      <c r="K368">
        <f t="shared" si="6"/>
        <v>1399.96</v>
      </c>
      <c r="Q368" s="8"/>
    </row>
    <row r="369" spans="1:17" ht="14.25" customHeight="1" x14ac:dyDescent="0.3">
      <c r="A369" s="2" t="s">
        <v>417</v>
      </c>
      <c r="B369" s="2" t="s">
        <v>27</v>
      </c>
      <c r="C369" s="2" t="s">
        <v>46</v>
      </c>
      <c r="D369" s="2" t="s">
        <v>37</v>
      </c>
      <c r="E369" s="2" t="s">
        <v>52</v>
      </c>
      <c r="F369" s="2">
        <v>2</v>
      </c>
      <c r="G369" s="2" t="s">
        <v>25</v>
      </c>
      <c r="H369" t="str" cm="1">
        <f t="array" ref="H369:J369">_xlfn.XLOOKUP(C369,Products!A:A,Products!B:D)</f>
        <v>Ergonomic Chair</v>
      </c>
      <c r="I369" t="str">
        <v>Furniture</v>
      </c>
      <c r="J369">
        <v>249.99</v>
      </c>
      <c r="K369">
        <f t="shared" si="6"/>
        <v>0</v>
      </c>
      <c r="Q369" s="8"/>
    </row>
    <row r="370" spans="1:17" ht="14.25" customHeight="1" x14ac:dyDescent="0.3">
      <c r="A370" s="2" t="s">
        <v>418</v>
      </c>
      <c r="B370" s="2" t="s">
        <v>27</v>
      </c>
      <c r="C370" s="2" t="s">
        <v>43</v>
      </c>
      <c r="D370" s="2" t="s">
        <v>29</v>
      </c>
      <c r="E370" s="2" t="s">
        <v>20</v>
      </c>
      <c r="F370" s="2">
        <v>4</v>
      </c>
      <c r="G370" s="2" t="s">
        <v>61</v>
      </c>
      <c r="H370" t="str" cm="1">
        <f t="array" ref="H370:J370">_xlfn.XLOOKUP(C370,Products!A:A,Products!B:D)</f>
        <v>Bluetooth Speaker</v>
      </c>
      <c r="I370" t="str">
        <v>Accessories</v>
      </c>
      <c r="J370">
        <v>79.989999999999995</v>
      </c>
      <c r="K370">
        <f t="shared" si="6"/>
        <v>319.95999999999998</v>
      </c>
      <c r="Q370" s="8"/>
    </row>
    <row r="371" spans="1:17" ht="14.25" customHeight="1" x14ac:dyDescent="0.3">
      <c r="A371" s="2" t="s">
        <v>419</v>
      </c>
      <c r="B371" s="2" t="s">
        <v>34</v>
      </c>
      <c r="C371" s="2" t="s">
        <v>23</v>
      </c>
      <c r="D371" s="2" t="s">
        <v>37</v>
      </c>
      <c r="E371" s="2" t="s">
        <v>24</v>
      </c>
      <c r="F371" s="2">
        <v>3</v>
      </c>
      <c r="G371" s="2" t="s">
        <v>21</v>
      </c>
      <c r="H371" t="str" cm="1">
        <f t="array" ref="H371:J371">_xlfn.XLOOKUP(C371,Products!A:A,Products!B:D)</f>
        <v>4K Monitor</v>
      </c>
      <c r="I371" t="str">
        <v>Electronics</v>
      </c>
      <c r="J371">
        <v>349.99</v>
      </c>
      <c r="K371">
        <f t="shared" si="6"/>
        <v>1049.97</v>
      </c>
      <c r="Q371" s="8"/>
    </row>
    <row r="372" spans="1:17" ht="14.25" customHeight="1" x14ac:dyDescent="0.3">
      <c r="A372" s="2" t="s">
        <v>420</v>
      </c>
      <c r="B372" s="2" t="s">
        <v>54</v>
      </c>
      <c r="C372" s="2" t="s">
        <v>30</v>
      </c>
      <c r="D372" s="2" t="s">
        <v>41</v>
      </c>
      <c r="E372" s="2" t="s">
        <v>24</v>
      </c>
      <c r="F372" s="2">
        <v>4</v>
      </c>
      <c r="G372" s="2" t="s">
        <v>21</v>
      </c>
      <c r="H372" t="str" cm="1">
        <f t="array" ref="H372:J372">_xlfn.XLOOKUP(C372,Products!A:A,Products!B:D)</f>
        <v>Wireless Headphones</v>
      </c>
      <c r="I372" t="str">
        <v>Accessories</v>
      </c>
      <c r="J372">
        <v>149.99</v>
      </c>
      <c r="K372">
        <f t="shared" si="6"/>
        <v>599.96</v>
      </c>
      <c r="Q372" s="8"/>
    </row>
    <row r="373" spans="1:17" ht="14.25" customHeight="1" x14ac:dyDescent="0.3">
      <c r="A373" s="2" t="s">
        <v>421</v>
      </c>
      <c r="B373" s="2" t="s">
        <v>54</v>
      </c>
      <c r="C373" s="2" t="s">
        <v>35</v>
      </c>
      <c r="D373" s="2" t="s">
        <v>19</v>
      </c>
      <c r="E373" s="2" t="s">
        <v>52</v>
      </c>
      <c r="F373" s="2">
        <v>4</v>
      </c>
      <c r="G373" s="2" t="s">
        <v>21</v>
      </c>
      <c r="H373" t="str" cm="1">
        <f t="array" ref="H373:J373">_xlfn.XLOOKUP(C373,Products!A:A,Products!B:D)</f>
        <v>Mechanical Keyboard</v>
      </c>
      <c r="I373" t="str">
        <v>Accessories</v>
      </c>
      <c r="J373">
        <v>89.99</v>
      </c>
      <c r="K373">
        <f t="shared" si="6"/>
        <v>359.96</v>
      </c>
      <c r="Q373" s="8"/>
    </row>
    <row r="374" spans="1:17" ht="14.25" customHeight="1" x14ac:dyDescent="0.3">
      <c r="A374" s="2" t="s">
        <v>422</v>
      </c>
      <c r="B374" s="2" t="s">
        <v>34</v>
      </c>
      <c r="C374" s="2" t="s">
        <v>35</v>
      </c>
      <c r="D374" s="2" t="s">
        <v>60</v>
      </c>
      <c r="E374" s="2" t="s">
        <v>24</v>
      </c>
      <c r="F374" s="2">
        <v>2</v>
      </c>
      <c r="G374" s="2" t="s">
        <v>25</v>
      </c>
      <c r="H374" t="str" cm="1">
        <f t="array" ref="H374:J374">_xlfn.XLOOKUP(C374,Products!A:A,Products!B:D)</f>
        <v>Mechanical Keyboard</v>
      </c>
      <c r="I374" t="str">
        <v>Accessories</v>
      </c>
      <c r="J374">
        <v>89.99</v>
      </c>
      <c r="K374">
        <f t="shared" si="6"/>
        <v>0</v>
      </c>
      <c r="Q374" s="8"/>
    </row>
    <row r="375" spans="1:17" ht="14.25" customHeight="1" x14ac:dyDescent="0.3">
      <c r="A375" s="2" t="s">
        <v>423</v>
      </c>
      <c r="B375" s="2" t="s">
        <v>58</v>
      </c>
      <c r="C375" s="2" t="s">
        <v>43</v>
      </c>
      <c r="D375" s="2" t="s">
        <v>60</v>
      </c>
      <c r="E375" s="2" t="s">
        <v>47</v>
      </c>
      <c r="F375" s="2">
        <v>5</v>
      </c>
      <c r="G375" s="2" t="s">
        <v>25</v>
      </c>
      <c r="H375" t="str" cm="1">
        <f t="array" ref="H375:J375">_xlfn.XLOOKUP(C375,Products!A:A,Products!B:D)</f>
        <v>Bluetooth Speaker</v>
      </c>
      <c r="I375" t="str">
        <v>Accessories</v>
      </c>
      <c r="J375">
        <v>79.989999999999995</v>
      </c>
      <c r="K375">
        <f t="shared" si="6"/>
        <v>0</v>
      </c>
      <c r="Q375" s="8"/>
    </row>
    <row r="376" spans="1:17" ht="14.25" customHeight="1" x14ac:dyDescent="0.3">
      <c r="A376" s="2" t="s">
        <v>424</v>
      </c>
      <c r="B376" s="2" t="s">
        <v>17</v>
      </c>
      <c r="C376" s="2" t="s">
        <v>46</v>
      </c>
      <c r="D376" s="2" t="s">
        <v>37</v>
      </c>
      <c r="E376" s="2" t="s">
        <v>47</v>
      </c>
      <c r="F376" s="2">
        <v>4</v>
      </c>
      <c r="G376" s="2" t="s">
        <v>21</v>
      </c>
      <c r="H376" t="str" cm="1">
        <f t="array" ref="H376:J376">_xlfn.XLOOKUP(C376,Products!A:A,Products!B:D)</f>
        <v>Ergonomic Chair</v>
      </c>
      <c r="I376" t="str">
        <v>Furniture</v>
      </c>
      <c r="J376">
        <v>249.99</v>
      </c>
      <c r="K376">
        <f t="shared" si="6"/>
        <v>999.96</v>
      </c>
      <c r="Q376" s="8"/>
    </row>
    <row r="377" spans="1:17" ht="14.25" customHeight="1" x14ac:dyDescent="0.3">
      <c r="A377" s="2" t="s">
        <v>425</v>
      </c>
      <c r="B377" s="2" t="s">
        <v>27</v>
      </c>
      <c r="C377" s="2" t="s">
        <v>38</v>
      </c>
      <c r="D377" s="2" t="s">
        <v>29</v>
      </c>
      <c r="E377" s="2" t="s">
        <v>20</v>
      </c>
      <c r="F377" s="2">
        <v>2</v>
      </c>
      <c r="G377" s="2" t="s">
        <v>61</v>
      </c>
      <c r="H377" t="str" cm="1">
        <f t="array" ref="H377:J377">_xlfn.XLOOKUP(C377,Products!A:A,Products!B:D)</f>
        <v>Gaming Mouse</v>
      </c>
      <c r="I377" t="str">
        <v>Accessories</v>
      </c>
      <c r="J377">
        <v>49.99</v>
      </c>
      <c r="K377">
        <f t="shared" si="6"/>
        <v>99.98</v>
      </c>
      <c r="Q377" s="8"/>
    </row>
    <row r="378" spans="1:17" ht="14.25" customHeight="1" x14ac:dyDescent="0.3">
      <c r="A378" s="2" t="s">
        <v>426</v>
      </c>
      <c r="B378" s="2" t="s">
        <v>56</v>
      </c>
      <c r="C378" s="2" t="s">
        <v>43</v>
      </c>
      <c r="D378" s="2" t="s">
        <v>29</v>
      </c>
      <c r="E378" s="2" t="s">
        <v>52</v>
      </c>
      <c r="F378" s="2">
        <v>1</v>
      </c>
      <c r="G378" s="2" t="s">
        <v>61</v>
      </c>
      <c r="H378" t="str" cm="1">
        <f t="array" ref="H378:J378">_xlfn.XLOOKUP(C378,Products!A:A,Products!B:D)</f>
        <v>Bluetooth Speaker</v>
      </c>
      <c r="I378" t="str">
        <v>Accessories</v>
      </c>
      <c r="J378">
        <v>79.989999999999995</v>
      </c>
      <c r="K378">
        <f t="shared" si="6"/>
        <v>79.989999999999995</v>
      </c>
      <c r="Q378" s="8"/>
    </row>
    <row r="379" spans="1:17" ht="14.25" customHeight="1" x14ac:dyDescent="0.3">
      <c r="A379" s="2" t="s">
        <v>427</v>
      </c>
      <c r="B379" s="2" t="s">
        <v>58</v>
      </c>
      <c r="C379" s="2" t="s">
        <v>35</v>
      </c>
      <c r="D379" s="2" t="s">
        <v>41</v>
      </c>
      <c r="E379" s="2" t="s">
        <v>52</v>
      </c>
      <c r="F379" s="2">
        <v>4</v>
      </c>
      <c r="G379" s="2" t="s">
        <v>25</v>
      </c>
      <c r="H379" t="str" cm="1">
        <f t="array" ref="H379:J379">_xlfn.XLOOKUP(C379,Products!A:A,Products!B:D)</f>
        <v>Mechanical Keyboard</v>
      </c>
      <c r="I379" t="str">
        <v>Accessories</v>
      </c>
      <c r="J379">
        <v>89.99</v>
      </c>
      <c r="K379">
        <f t="shared" si="6"/>
        <v>0</v>
      </c>
      <c r="Q379" s="8"/>
    </row>
    <row r="380" spans="1:17" ht="14.25" customHeight="1" x14ac:dyDescent="0.3">
      <c r="A380" s="2" t="s">
        <v>428</v>
      </c>
      <c r="B380" s="2" t="s">
        <v>27</v>
      </c>
      <c r="C380" s="2" t="s">
        <v>46</v>
      </c>
      <c r="D380" s="2" t="s">
        <v>60</v>
      </c>
      <c r="E380" s="2" t="s">
        <v>52</v>
      </c>
      <c r="F380" s="2">
        <v>2</v>
      </c>
      <c r="G380" s="2" t="s">
        <v>21</v>
      </c>
      <c r="H380" t="str" cm="1">
        <f t="array" ref="H380:J380">_xlfn.XLOOKUP(C380,Products!A:A,Products!B:D)</f>
        <v>Ergonomic Chair</v>
      </c>
      <c r="I380" t="str">
        <v>Furniture</v>
      </c>
      <c r="J380">
        <v>249.99</v>
      </c>
      <c r="K380">
        <f t="shared" si="6"/>
        <v>499.98</v>
      </c>
      <c r="Q380" s="8"/>
    </row>
    <row r="381" spans="1:17" ht="14.25" customHeight="1" x14ac:dyDescent="0.3">
      <c r="A381" s="2" t="s">
        <v>429</v>
      </c>
      <c r="B381" s="2" t="s">
        <v>34</v>
      </c>
      <c r="C381" s="2" t="s">
        <v>35</v>
      </c>
      <c r="D381" s="2" t="s">
        <v>60</v>
      </c>
      <c r="E381" s="2" t="s">
        <v>47</v>
      </c>
      <c r="F381" s="2">
        <v>2</v>
      </c>
      <c r="G381" s="2" t="s">
        <v>25</v>
      </c>
      <c r="H381" t="str" cm="1">
        <f t="array" ref="H381:J381">_xlfn.XLOOKUP(C381,Products!A:A,Products!B:D)</f>
        <v>Mechanical Keyboard</v>
      </c>
      <c r="I381" t="str">
        <v>Accessories</v>
      </c>
      <c r="J381">
        <v>89.99</v>
      </c>
      <c r="K381">
        <f t="shared" si="6"/>
        <v>0</v>
      </c>
      <c r="Q381" s="8"/>
    </row>
    <row r="382" spans="1:17" ht="14.25" customHeight="1" x14ac:dyDescent="0.3">
      <c r="A382" s="2" t="s">
        <v>430</v>
      </c>
      <c r="B382" s="2" t="s">
        <v>34</v>
      </c>
      <c r="C382" s="2" t="s">
        <v>38</v>
      </c>
      <c r="D382" s="2" t="s">
        <v>29</v>
      </c>
      <c r="E382" s="2" t="s">
        <v>24</v>
      </c>
      <c r="F382" s="2">
        <v>3</v>
      </c>
      <c r="G382" s="2" t="s">
        <v>21</v>
      </c>
      <c r="H382" t="str" cm="1">
        <f t="array" ref="H382:J382">_xlfn.XLOOKUP(C382,Products!A:A,Products!B:D)</f>
        <v>Gaming Mouse</v>
      </c>
      <c r="I382" t="str">
        <v>Accessories</v>
      </c>
      <c r="J382">
        <v>49.99</v>
      </c>
      <c r="K382">
        <f t="shared" si="6"/>
        <v>149.97</v>
      </c>
      <c r="Q382" s="8"/>
    </row>
    <row r="383" spans="1:17" ht="14.25" customHeight="1" x14ac:dyDescent="0.3">
      <c r="A383" s="2" t="s">
        <v>431</v>
      </c>
      <c r="B383" s="2" t="s">
        <v>34</v>
      </c>
      <c r="C383" s="2" t="s">
        <v>7</v>
      </c>
      <c r="D383" s="2" t="s">
        <v>37</v>
      </c>
      <c r="E383" s="2" t="s">
        <v>20</v>
      </c>
      <c r="F383" s="2">
        <v>2</v>
      </c>
      <c r="G383" s="2" t="s">
        <v>21</v>
      </c>
      <c r="H383" t="str" cm="1">
        <f t="array" ref="H383:J383">_xlfn.XLOOKUP(C383,Products!A:A,Products!B:D)</f>
        <v>Smartphone X</v>
      </c>
      <c r="I383" t="str">
        <v>Electronics</v>
      </c>
      <c r="J383">
        <v>999.99</v>
      </c>
      <c r="K383">
        <f t="shared" si="6"/>
        <v>1999.98</v>
      </c>
      <c r="Q383" s="8"/>
    </row>
    <row r="384" spans="1:17" ht="14.25" customHeight="1" x14ac:dyDescent="0.3">
      <c r="A384" s="2" t="s">
        <v>432</v>
      </c>
      <c r="B384" s="2" t="s">
        <v>27</v>
      </c>
      <c r="C384" s="2" t="s">
        <v>35</v>
      </c>
      <c r="D384" s="2" t="s">
        <v>37</v>
      </c>
      <c r="E384" s="2" t="s">
        <v>20</v>
      </c>
      <c r="F384" s="2">
        <v>4</v>
      </c>
      <c r="G384" s="2" t="s">
        <v>21</v>
      </c>
      <c r="H384" t="str" cm="1">
        <f t="array" ref="H384:J384">_xlfn.XLOOKUP(C384,Products!A:A,Products!B:D)</f>
        <v>Mechanical Keyboard</v>
      </c>
      <c r="I384" t="str">
        <v>Accessories</v>
      </c>
      <c r="J384">
        <v>89.99</v>
      </c>
      <c r="K384">
        <f t="shared" si="6"/>
        <v>359.96</v>
      </c>
      <c r="Q384" s="8"/>
    </row>
    <row r="385" spans="1:17" ht="14.25" customHeight="1" x14ac:dyDescent="0.3">
      <c r="A385" s="2" t="s">
        <v>433</v>
      </c>
      <c r="B385" s="2" t="s">
        <v>56</v>
      </c>
      <c r="C385" s="2" t="s">
        <v>23</v>
      </c>
      <c r="D385" s="2" t="s">
        <v>60</v>
      </c>
      <c r="E385" s="2" t="s">
        <v>24</v>
      </c>
      <c r="F385" s="2">
        <v>1</v>
      </c>
      <c r="G385" s="2" t="s">
        <v>21</v>
      </c>
      <c r="H385" t="str" cm="1">
        <f t="array" ref="H385:J385">_xlfn.XLOOKUP(C385,Products!A:A,Products!B:D)</f>
        <v>4K Monitor</v>
      </c>
      <c r="I385" t="str">
        <v>Electronics</v>
      </c>
      <c r="J385">
        <v>349.99</v>
      </c>
      <c r="K385">
        <f t="shared" si="6"/>
        <v>349.99</v>
      </c>
      <c r="Q385" s="8"/>
    </row>
    <row r="386" spans="1:17" ht="14.25" customHeight="1" x14ac:dyDescent="0.3">
      <c r="A386" s="2" t="s">
        <v>434</v>
      </c>
      <c r="B386" s="2" t="s">
        <v>54</v>
      </c>
      <c r="C386" s="2" t="s">
        <v>46</v>
      </c>
      <c r="D386" s="2" t="s">
        <v>41</v>
      </c>
      <c r="E386" s="2" t="s">
        <v>24</v>
      </c>
      <c r="F386" s="2">
        <v>2</v>
      </c>
      <c r="G386" s="2" t="s">
        <v>21</v>
      </c>
      <c r="H386" t="str" cm="1">
        <f t="array" ref="H386:J386">_xlfn.XLOOKUP(C386,Products!A:A,Products!B:D)</f>
        <v>Ergonomic Chair</v>
      </c>
      <c r="I386" t="str">
        <v>Furniture</v>
      </c>
      <c r="J386">
        <v>249.99</v>
      </c>
      <c r="K386">
        <f t="shared" si="6"/>
        <v>499.98</v>
      </c>
      <c r="Q386" s="8"/>
    </row>
    <row r="387" spans="1:17" ht="14.25" customHeight="1" x14ac:dyDescent="0.3">
      <c r="A387" s="2" t="s">
        <v>435</v>
      </c>
      <c r="B387" s="2" t="s">
        <v>56</v>
      </c>
      <c r="C387" s="2" t="s">
        <v>35</v>
      </c>
      <c r="D387" s="2" t="s">
        <v>37</v>
      </c>
      <c r="E387" s="2" t="s">
        <v>47</v>
      </c>
      <c r="F387" s="2">
        <v>1</v>
      </c>
      <c r="G387" s="2" t="s">
        <v>21</v>
      </c>
      <c r="H387" t="str" cm="1">
        <f t="array" ref="H387:J387">_xlfn.XLOOKUP(C387,Products!A:A,Products!B:D)</f>
        <v>Mechanical Keyboard</v>
      </c>
      <c r="I387" t="str">
        <v>Accessories</v>
      </c>
      <c r="J387">
        <v>89.99</v>
      </c>
      <c r="K387">
        <f t="shared" ref="K387:K450" si="7">IF(G387="Cancelled", 0, F387*J387)</f>
        <v>89.99</v>
      </c>
      <c r="Q387" s="8"/>
    </row>
    <row r="388" spans="1:17" ht="14.25" customHeight="1" x14ac:dyDescent="0.3">
      <c r="A388" s="2" t="s">
        <v>436</v>
      </c>
      <c r="B388" s="2" t="s">
        <v>58</v>
      </c>
      <c r="C388" s="2" t="s">
        <v>18</v>
      </c>
      <c r="D388" s="2" t="s">
        <v>41</v>
      </c>
      <c r="E388" s="2" t="s">
        <v>20</v>
      </c>
      <c r="F388" s="2">
        <v>3</v>
      </c>
      <c r="G388" s="2" t="s">
        <v>25</v>
      </c>
      <c r="H388" t="str" cm="1">
        <f t="array" ref="H388:J388">_xlfn.XLOOKUP(C388,Products!A:A,Products!B:D)</f>
        <v>Tablet Air</v>
      </c>
      <c r="I388" t="str">
        <v>Electronics</v>
      </c>
      <c r="J388">
        <v>499.99</v>
      </c>
      <c r="K388">
        <f t="shared" si="7"/>
        <v>0</v>
      </c>
      <c r="Q388" s="8"/>
    </row>
    <row r="389" spans="1:17" ht="14.25" customHeight="1" x14ac:dyDescent="0.3">
      <c r="A389" s="2" t="s">
        <v>437</v>
      </c>
      <c r="B389" s="2" t="s">
        <v>17</v>
      </c>
      <c r="C389" s="2" t="s">
        <v>7</v>
      </c>
      <c r="D389" s="2" t="s">
        <v>37</v>
      </c>
      <c r="E389" s="2" t="s">
        <v>47</v>
      </c>
      <c r="F389" s="2">
        <v>3</v>
      </c>
      <c r="G389" s="2" t="s">
        <v>21</v>
      </c>
      <c r="H389" t="str" cm="1">
        <f t="array" ref="H389:J389">_xlfn.XLOOKUP(C389,Products!A:A,Products!B:D)</f>
        <v>Smartphone X</v>
      </c>
      <c r="I389" t="str">
        <v>Electronics</v>
      </c>
      <c r="J389">
        <v>999.99</v>
      </c>
      <c r="K389">
        <f t="shared" si="7"/>
        <v>2999.9700000000003</v>
      </c>
      <c r="Q389" s="8"/>
    </row>
    <row r="390" spans="1:17" ht="14.25" customHeight="1" x14ac:dyDescent="0.3">
      <c r="A390" s="2" t="s">
        <v>438</v>
      </c>
      <c r="B390" s="2" t="s">
        <v>27</v>
      </c>
      <c r="C390" s="2" t="s">
        <v>30</v>
      </c>
      <c r="D390" s="2" t="s">
        <v>37</v>
      </c>
      <c r="E390" s="2" t="s">
        <v>52</v>
      </c>
      <c r="F390" s="2">
        <v>1</v>
      </c>
      <c r="G390" s="2" t="s">
        <v>25</v>
      </c>
      <c r="H390" t="str" cm="1">
        <f t="array" ref="H390:J390">_xlfn.XLOOKUP(C390,Products!A:A,Products!B:D)</f>
        <v>Wireless Headphones</v>
      </c>
      <c r="I390" t="str">
        <v>Accessories</v>
      </c>
      <c r="J390">
        <v>149.99</v>
      </c>
      <c r="K390">
        <f t="shared" si="7"/>
        <v>0</v>
      </c>
      <c r="Q390" s="8"/>
    </row>
    <row r="391" spans="1:17" ht="14.25" customHeight="1" x14ac:dyDescent="0.3">
      <c r="A391" s="2" t="s">
        <v>439</v>
      </c>
      <c r="B391" s="2" t="s">
        <v>56</v>
      </c>
      <c r="C391" s="2" t="s">
        <v>7</v>
      </c>
      <c r="D391" s="2" t="s">
        <v>37</v>
      </c>
      <c r="E391" s="2" t="s">
        <v>52</v>
      </c>
      <c r="F391" s="2">
        <v>4</v>
      </c>
      <c r="G391" s="2" t="s">
        <v>21</v>
      </c>
      <c r="H391" t="str" cm="1">
        <f t="array" ref="H391:J391">_xlfn.XLOOKUP(C391,Products!A:A,Products!B:D)</f>
        <v>Smartphone X</v>
      </c>
      <c r="I391" t="str">
        <v>Electronics</v>
      </c>
      <c r="J391">
        <v>999.99</v>
      </c>
      <c r="K391">
        <f t="shared" si="7"/>
        <v>3999.96</v>
      </c>
      <c r="Q391" s="8"/>
    </row>
    <row r="392" spans="1:17" ht="14.25" customHeight="1" x14ac:dyDescent="0.3">
      <c r="A392" s="2" t="s">
        <v>440</v>
      </c>
      <c r="B392" s="2" t="s">
        <v>27</v>
      </c>
      <c r="C392" s="2" t="s">
        <v>35</v>
      </c>
      <c r="D392" s="2" t="s">
        <v>29</v>
      </c>
      <c r="E392" s="2" t="s">
        <v>52</v>
      </c>
      <c r="F392" s="2">
        <v>5</v>
      </c>
      <c r="G392" s="2" t="s">
        <v>21</v>
      </c>
      <c r="H392" t="str" cm="1">
        <f t="array" ref="H392:J392">_xlfn.XLOOKUP(C392,Products!A:A,Products!B:D)</f>
        <v>Mechanical Keyboard</v>
      </c>
      <c r="I392" t="str">
        <v>Accessories</v>
      </c>
      <c r="J392">
        <v>89.99</v>
      </c>
      <c r="K392">
        <f t="shared" si="7"/>
        <v>449.95</v>
      </c>
      <c r="Q392" s="8"/>
    </row>
    <row r="393" spans="1:17" ht="14.25" customHeight="1" x14ac:dyDescent="0.3">
      <c r="A393" s="2" t="s">
        <v>441</v>
      </c>
      <c r="B393" s="2" t="s">
        <v>58</v>
      </c>
      <c r="C393" s="2" t="s">
        <v>38</v>
      </c>
      <c r="D393" s="2" t="s">
        <v>60</v>
      </c>
      <c r="E393" s="2" t="s">
        <v>20</v>
      </c>
      <c r="F393" s="2">
        <v>5</v>
      </c>
      <c r="G393" s="2" t="s">
        <v>61</v>
      </c>
      <c r="H393" t="str" cm="1">
        <f t="array" ref="H393:J393">_xlfn.XLOOKUP(C393,Products!A:A,Products!B:D)</f>
        <v>Gaming Mouse</v>
      </c>
      <c r="I393" t="str">
        <v>Accessories</v>
      </c>
      <c r="J393">
        <v>49.99</v>
      </c>
      <c r="K393">
        <f t="shared" si="7"/>
        <v>249.95000000000002</v>
      </c>
      <c r="Q393" s="8"/>
    </row>
    <row r="394" spans="1:17" ht="14.25" customHeight="1" x14ac:dyDescent="0.3">
      <c r="A394" s="2" t="s">
        <v>442</v>
      </c>
      <c r="B394" s="2" t="s">
        <v>54</v>
      </c>
      <c r="C394" s="2" t="s">
        <v>43</v>
      </c>
      <c r="D394" s="2" t="s">
        <v>19</v>
      </c>
      <c r="E394" s="2" t="s">
        <v>24</v>
      </c>
      <c r="F394" s="2">
        <v>2</v>
      </c>
      <c r="G394" s="2" t="s">
        <v>61</v>
      </c>
      <c r="H394" t="str" cm="1">
        <f t="array" ref="H394:J394">_xlfn.XLOOKUP(C394,Products!A:A,Products!B:D)</f>
        <v>Bluetooth Speaker</v>
      </c>
      <c r="I394" t="str">
        <v>Accessories</v>
      </c>
      <c r="J394">
        <v>79.989999999999995</v>
      </c>
      <c r="K394">
        <f t="shared" si="7"/>
        <v>159.97999999999999</v>
      </c>
      <c r="Q394" s="8"/>
    </row>
    <row r="395" spans="1:17" ht="14.25" customHeight="1" x14ac:dyDescent="0.3">
      <c r="A395" s="2" t="s">
        <v>443</v>
      </c>
      <c r="B395" s="2" t="s">
        <v>27</v>
      </c>
      <c r="C395" s="2" t="s">
        <v>7</v>
      </c>
      <c r="D395" s="2" t="s">
        <v>29</v>
      </c>
      <c r="E395" s="2" t="s">
        <v>20</v>
      </c>
      <c r="F395" s="2">
        <v>4</v>
      </c>
      <c r="G395" s="2" t="s">
        <v>21</v>
      </c>
      <c r="H395" t="str" cm="1">
        <f t="array" ref="H395:J395">_xlfn.XLOOKUP(C395,Products!A:A,Products!B:D)</f>
        <v>Smartphone X</v>
      </c>
      <c r="I395" t="str">
        <v>Electronics</v>
      </c>
      <c r="J395">
        <v>999.99</v>
      </c>
      <c r="K395">
        <f t="shared" si="7"/>
        <v>3999.96</v>
      </c>
      <c r="Q395" s="8"/>
    </row>
    <row r="396" spans="1:17" ht="14.25" customHeight="1" x14ac:dyDescent="0.3">
      <c r="A396" s="2" t="s">
        <v>444</v>
      </c>
      <c r="B396" s="2" t="s">
        <v>17</v>
      </c>
      <c r="C396" s="2" t="s">
        <v>18</v>
      </c>
      <c r="D396" s="2" t="s">
        <v>41</v>
      </c>
      <c r="E396" s="2" t="s">
        <v>47</v>
      </c>
      <c r="F396" s="2">
        <v>4</v>
      </c>
      <c r="G396" s="2" t="s">
        <v>21</v>
      </c>
      <c r="H396" t="str" cm="1">
        <f t="array" ref="H396:J396">_xlfn.XLOOKUP(C396,Products!A:A,Products!B:D)</f>
        <v>Tablet Air</v>
      </c>
      <c r="I396" t="str">
        <v>Electronics</v>
      </c>
      <c r="J396">
        <v>499.99</v>
      </c>
      <c r="K396">
        <f t="shared" si="7"/>
        <v>1999.96</v>
      </c>
      <c r="Q396" s="8"/>
    </row>
    <row r="397" spans="1:17" ht="14.25" customHeight="1" x14ac:dyDescent="0.3">
      <c r="A397" s="2" t="s">
        <v>445</v>
      </c>
      <c r="B397" s="2" t="s">
        <v>58</v>
      </c>
      <c r="C397" s="2" t="s">
        <v>18</v>
      </c>
      <c r="D397" s="2" t="s">
        <v>29</v>
      </c>
      <c r="E397" s="2" t="s">
        <v>47</v>
      </c>
      <c r="F397" s="2">
        <v>4</v>
      </c>
      <c r="G397" s="2" t="s">
        <v>21</v>
      </c>
      <c r="H397" t="str" cm="1">
        <f t="array" ref="H397:J397">_xlfn.XLOOKUP(C397,Products!A:A,Products!B:D)</f>
        <v>Tablet Air</v>
      </c>
      <c r="I397" t="str">
        <v>Electronics</v>
      </c>
      <c r="J397">
        <v>499.99</v>
      </c>
      <c r="K397">
        <f t="shared" si="7"/>
        <v>1999.96</v>
      </c>
      <c r="Q397" s="8"/>
    </row>
    <row r="398" spans="1:17" ht="14.25" customHeight="1" x14ac:dyDescent="0.3">
      <c r="A398" s="2" t="s">
        <v>446</v>
      </c>
      <c r="B398" s="2" t="s">
        <v>34</v>
      </c>
      <c r="C398" s="2" t="s">
        <v>30</v>
      </c>
      <c r="D398" s="2" t="s">
        <v>29</v>
      </c>
      <c r="E398" s="2" t="s">
        <v>52</v>
      </c>
      <c r="F398" s="2">
        <v>2</v>
      </c>
      <c r="G398" s="2" t="s">
        <v>21</v>
      </c>
      <c r="H398" t="str" cm="1">
        <f t="array" ref="H398:J398">_xlfn.XLOOKUP(C398,Products!A:A,Products!B:D)</f>
        <v>Wireless Headphones</v>
      </c>
      <c r="I398" t="str">
        <v>Accessories</v>
      </c>
      <c r="J398">
        <v>149.99</v>
      </c>
      <c r="K398">
        <f t="shared" si="7"/>
        <v>299.98</v>
      </c>
      <c r="Q398" s="8"/>
    </row>
    <row r="399" spans="1:17" ht="14.25" customHeight="1" x14ac:dyDescent="0.3">
      <c r="A399" s="2" t="s">
        <v>447</v>
      </c>
      <c r="B399" s="2" t="s">
        <v>58</v>
      </c>
      <c r="C399" s="2" t="s">
        <v>7</v>
      </c>
      <c r="D399" s="2" t="s">
        <v>19</v>
      </c>
      <c r="E399" s="2" t="s">
        <v>52</v>
      </c>
      <c r="F399" s="2">
        <v>1</v>
      </c>
      <c r="G399" s="2" t="s">
        <v>61</v>
      </c>
      <c r="H399" t="str" cm="1">
        <f t="array" ref="H399:J399">_xlfn.XLOOKUP(C399,Products!A:A,Products!B:D)</f>
        <v>Smartphone X</v>
      </c>
      <c r="I399" t="str">
        <v>Electronics</v>
      </c>
      <c r="J399">
        <v>999.99</v>
      </c>
      <c r="K399">
        <f t="shared" si="7"/>
        <v>999.99</v>
      </c>
      <c r="Q399" s="8"/>
    </row>
    <row r="400" spans="1:17" ht="14.25" customHeight="1" x14ac:dyDescent="0.3">
      <c r="A400" s="2" t="s">
        <v>448</v>
      </c>
      <c r="B400" s="2" t="s">
        <v>54</v>
      </c>
      <c r="C400" s="2" t="s">
        <v>35</v>
      </c>
      <c r="D400" s="2" t="s">
        <v>41</v>
      </c>
      <c r="E400" s="2" t="s">
        <v>47</v>
      </c>
      <c r="F400" s="2">
        <v>5</v>
      </c>
      <c r="G400" s="2" t="s">
        <v>21</v>
      </c>
      <c r="H400" t="str" cm="1">
        <f t="array" ref="H400:J400">_xlfn.XLOOKUP(C400,Products!A:A,Products!B:D)</f>
        <v>Mechanical Keyboard</v>
      </c>
      <c r="I400" t="str">
        <v>Accessories</v>
      </c>
      <c r="J400">
        <v>89.99</v>
      </c>
      <c r="K400">
        <f t="shared" si="7"/>
        <v>449.95</v>
      </c>
      <c r="Q400" s="8"/>
    </row>
    <row r="401" spans="1:17" ht="14.25" customHeight="1" x14ac:dyDescent="0.3">
      <c r="A401" s="2" t="s">
        <v>449</v>
      </c>
      <c r="B401" s="2" t="s">
        <v>27</v>
      </c>
      <c r="C401" s="2" t="s">
        <v>18</v>
      </c>
      <c r="D401" s="2" t="s">
        <v>60</v>
      </c>
      <c r="E401" s="2" t="s">
        <v>52</v>
      </c>
      <c r="F401" s="2">
        <v>2</v>
      </c>
      <c r="G401" s="2" t="s">
        <v>21</v>
      </c>
      <c r="H401" t="str" cm="1">
        <f t="array" ref="H401:J401">_xlfn.XLOOKUP(C401,Products!A:A,Products!B:D)</f>
        <v>Tablet Air</v>
      </c>
      <c r="I401" t="str">
        <v>Electronics</v>
      </c>
      <c r="J401">
        <v>499.99</v>
      </c>
      <c r="K401">
        <f t="shared" si="7"/>
        <v>999.98</v>
      </c>
      <c r="Q401" s="8"/>
    </row>
    <row r="402" spans="1:17" ht="14.25" customHeight="1" x14ac:dyDescent="0.3">
      <c r="A402" s="2" t="s">
        <v>450</v>
      </c>
      <c r="B402" s="2" t="s">
        <v>17</v>
      </c>
      <c r="C402" s="2" t="s">
        <v>18</v>
      </c>
      <c r="D402" s="2" t="s">
        <v>60</v>
      </c>
      <c r="E402" s="2" t="s">
        <v>24</v>
      </c>
      <c r="F402" s="2">
        <v>3</v>
      </c>
      <c r="G402" s="2" t="s">
        <v>61</v>
      </c>
      <c r="H402" t="str" cm="1">
        <f t="array" ref="H402:J402">_xlfn.XLOOKUP(C402,Products!A:A,Products!B:D)</f>
        <v>Tablet Air</v>
      </c>
      <c r="I402" t="str">
        <v>Electronics</v>
      </c>
      <c r="J402">
        <v>499.99</v>
      </c>
      <c r="K402">
        <f t="shared" si="7"/>
        <v>1499.97</v>
      </c>
      <c r="Q402" s="8"/>
    </row>
    <row r="403" spans="1:17" ht="14.25" customHeight="1" x14ac:dyDescent="0.3">
      <c r="A403" s="2" t="s">
        <v>451</v>
      </c>
      <c r="B403" s="2" t="s">
        <v>58</v>
      </c>
      <c r="C403" s="2" t="s">
        <v>18</v>
      </c>
      <c r="D403" s="2" t="s">
        <v>19</v>
      </c>
      <c r="E403" s="2" t="s">
        <v>47</v>
      </c>
      <c r="F403" s="2">
        <v>2</v>
      </c>
      <c r="G403" s="2" t="s">
        <v>21</v>
      </c>
      <c r="H403" t="str" cm="1">
        <f t="array" ref="H403:J403">_xlfn.XLOOKUP(C403,Products!A:A,Products!B:D)</f>
        <v>Tablet Air</v>
      </c>
      <c r="I403" t="str">
        <v>Electronics</v>
      </c>
      <c r="J403">
        <v>499.99</v>
      </c>
      <c r="K403">
        <f t="shared" si="7"/>
        <v>999.98</v>
      </c>
      <c r="Q403" s="8"/>
    </row>
    <row r="404" spans="1:17" ht="14.25" customHeight="1" x14ac:dyDescent="0.3">
      <c r="A404" s="2" t="s">
        <v>452</v>
      </c>
      <c r="B404" s="2" t="s">
        <v>54</v>
      </c>
      <c r="C404" s="2" t="s">
        <v>18</v>
      </c>
      <c r="D404" s="2" t="s">
        <v>60</v>
      </c>
      <c r="E404" s="2" t="s">
        <v>24</v>
      </c>
      <c r="F404" s="2">
        <v>5</v>
      </c>
      <c r="G404" s="2" t="s">
        <v>61</v>
      </c>
      <c r="H404" t="str" cm="1">
        <f t="array" ref="H404:J404">_xlfn.XLOOKUP(C404,Products!A:A,Products!B:D)</f>
        <v>Tablet Air</v>
      </c>
      <c r="I404" t="str">
        <v>Electronics</v>
      </c>
      <c r="J404">
        <v>499.99</v>
      </c>
      <c r="K404">
        <f t="shared" si="7"/>
        <v>2499.9499999999998</v>
      </c>
      <c r="Q404" s="8"/>
    </row>
    <row r="405" spans="1:17" ht="14.25" customHeight="1" x14ac:dyDescent="0.3">
      <c r="A405" s="2" t="s">
        <v>453</v>
      </c>
      <c r="B405" s="2" t="s">
        <v>27</v>
      </c>
      <c r="C405" s="2" t="s">
        <v>18</v>
      </c>
      <c r="D405" s="2" t="s">
        <v>29</v>
      </c>
      <c r="E405" s="2" t="s">
        <v>20</v>
      </c>
      <c r="F405" s="2">
        <v>4</v>
      </c>
      <c r="G405" s="2" t="s">
        <v>21</v>
      </c>
      <c r="H405" t="str" cm="1">
        <f t="array" ref="H405:J405">_xlfn.XLOOKUP(C405,Products!A:A,Products!B:D)</f>
        <v>Tablet Air</v>
      </c>
      <c r="I405" t="str">
        <v>Electronics</v>
      </c>
      <c r="J405">
        <v>499.99</v>
      </c>
      <c r="K405">
        <f t="shared" si="7"/>
        <v>1999.96</v>
      </c>
      <c r="Q405" s="8"/>
    </row>
    <row r="406" spans="1:17" ht="14.25" customHeight="1" x14ac:dyDescent="0.3">
      <c r="A406" s="2" t="s">
        <v>454</v>
      </c>
      <c r="B406" s="2" t="s">
        <v>34</v>
      </c>
      <c r="C406" s="2" t="s">
        <v>7</v>
      </c>
      <c r="D406" s="2" t="s">
        <v>60</v>
      </c>
      <c r="E406" s="2" t="s">
        <v>20</v>
      </c>
      <c r="F406" s="2">
        <v>2</v>
      </c>
      <c r="G406" s="2" t="s">
        <v>21</v>
      </c>
      <c r="H406" t="str" cm="1">
        <f t="array" ref="H406:J406">_xlfn.XLOOKUP(C406,Products!A:A,Products!B:D)</f>
        <v>Smartphone X</v>
      </c>
      <c r="I406" t="str">
        <v>Electronics</v>
      </c>
      <c r="J406">
        <v>999.99</v>
      </c>
      <c r="K406">
        <f t="shared" si="7"/>
        <v>1999.98</v>
      </c>
      <c r="Q406" s="8"/>
    </row>
    <row r="407" spans="1:17" ht="14.25" customHeight="1" x14ac:dyDescent="0.3">
      <c r="A407" s="2" t="s">
        <v>455</v>
      </c>
      <c r="B407" s="2" t="s">
        <v>17</v>
      </c>
      <c r="C407" s="2" t="s">
        <v>38</v>
      </c>
      <c r="D407" s="2" t="s">
        <v>29</v>
      </c>
      <c r="E407" s="2" t="s">
        <v>20</v>
      </c>
      <c r="F407" s="2">
        <v>5</v>
      </c>
      <c r="G407" s="2" t="s">
        <v>21</v>
      </c>
      <c r="H407" t="str" cm="1">
        <f t="array" ref="H407:J407">_xlfn.XLOOKUP(C407,Products!A:A,Products!B:D)</f>
        <v>Gaming Mouse</v>
      </c>
      <c r="I407" t="str">
        <v>Accessories</v>
      </c>
      <c r="J407">
        <v>49.99</v>
      </c>
      <c r="K407">
        <f t="shared" si="7"/>
        <v>249.95000000000002</v>
      </c>
      <c r="Q407" s="8"/>
    </row>
    <row r="408" spans="1:17" ht="14.25" customHeight="1" x14ac:dyDescent="0.3">
      <c r="A408" s="2" t="s">
        <v>456</v>
      </c>
      <c r="B408" s="2" t="s">
        <v>58</v>
      </c>
      <c r="C408" s="2" t="s">
        <v>23</v>
      </c>
      <c r="D408" s="2" t="s">
        <v>41</v>
      </c>
      <c r="E408" s="2" t="s">
        <v>24</v>
      </c>
      <c r="F408" s="2">
        <v>4</v>
      </c>
      <c r="G408" s="2" t="s">
        <v>21</v>
      </c>
      <c r="H408" t="str" cm="1">
        <f t="array" ref="H408:J408">_xlfn.XLOOKUP(C408,Products!A:A,Products!B:D)</f>
        <v>4K Monitor</v>
      </c>
      <c r="I408" t="str">
        <v>Electronics</v>
      </c>
      <c r="J408">
        <v>349.99</v>
      </c>
      <c r="K408">
        <f t="shared" si="7"/>
        <v>1399.96</v>
      </c>
      <c r="Q408" s="8"/>
    </row>
    <row r="409" spans="1:17" ht="14.25" customHeight="1" x14ac:dyDescent="0.3">
      <c r="A409" s="2" t="s">
        <v>457</v>
      </c>
      <c r="B409" s="2" t="s">
        <v>34</v>
      </c>
      <c r="C409" s="2" t="s">
        <v>23</v>
      </c>
      <c r="D409" s="2" t="s">
        <v>19</v>
      </c>
      <c r="E409" s="2" t="s">
        <v>20</v>
      </c>
      <c r="F409" s="2">
        <v>5</v>
      </c>
      <c r="G409" s="2" t="s">
        <v>21</v>
      </c>
      <c r="H409" t="str" cm="1">
        <f t="array" ref="H409:J409">_xlfn.XLOOKUP(C409,Products!A:A,Products!B:D)</f>
        <v>4K Monitor</v>
      </c>
      <c r="I409" t="str">
        <v>Electronics</v>
      </c>
      <c r="J409">
        <v>349.99</v>
      </c>
      <c r="K409">
        <f t="shared" si="7"/>
        <v>1749.95</v>
      </c>
      <c r="Q409" s="8"/>
    </row>
    <row r="410" spans="1:17" ht="14.25" customHeight="1" x14ac:dyDescent="0.3">
      <c r="A410" s="2" t="s">
        <v>458</v>
      </c>
      <c r="B410" s="2" t="s">
        <v>54</v>
      </c>
      <c r="C410" s="2" t="s">
        <v>30</v>
      </c>
      <c r="D410" s="2" t="s">
        <v>41</v>
      </c>
      <c r="E410" s="2" t="s">
        <v>52</v>
      </c>
      <c r="F410" s="2">
        <v>4</v>
      </c>
      <c r="G410" s="2" t="s">
        <v>21</v>
      </c>
      <c r="H410" t="str" cm="1">
        <f t="array" ref="H410:J410">_xlfn.XLOOKUP(C410,Products!A:A,Products!B:D)</f>
        <v>Wireless Headphones</v>
      </c>
      <c r="I410" t="str">
        <v>Accessories</v>
      </c>
      <c r="J410">
        <v>149.99</v>
      </c>
      <c r="K410">
        <f t="shared" si="7"/>
        <v>599.96</v>
      </c>
      <c r="Q410" s="8"/>
    </row>
    <row r="411" spans="1:17" ht="14.25" customHeight="1" x14ac:dyDescent="0.3">
      <c r="A411" s="2" t="s">
        <v>459</v>
      </c>
      <c r="B411" s="2" t="s">
        <v>27</v>
      </c>
      <c r="C411" s="2" t="s">
        <v>46</v>
      </c>
      <c r="D411" s="2" t="s">
        <v>41</v>
      </c>
      <c r="E411" s="2" t="s">
        <v>24</v>
      </c>
      <c r="F411" s="2">
        <v>5</v>
      </c>
      <c r="G411" s="2" t="s">
        <v>21</v>
      </c>
      <c r="H411" t="str" cm="1">
        <f t="array" ref="H411:J411">_xlfn.XLOOKUP(C411,Products!A:A,Products!B:D)</f>
        <v>Ergonomic Chair</v>
      </c>
      <c r="I411" t="str">
        <v>Furniture</v>
      </c>
      <c r="J411">
        <v>249.99</v>
      </c>
      <c r="K411">
        <f t="shared" si="7"/>
        <v>1249.95</v>
      </c>
      <c r="Q411" s="8"/>
    </row>
    <row r="412" spans="1:17" ht="14.25" customHeight="1" x14ac:dyDescent="0.3">
      <c r="A412" s="2" t="s">
        <v>460</v>
      </c>
      <c r="B412" s="2" t="s">
        <v>27</v>
      </c>
      <c r="C412" s="2" t="s">
        <v>43</v>
      </c>
      <c r="D412" s="2" t="s">
        <v>29</v>
      </c>
      <c r="E412" s="2" t="s">
        <v>20</v>
      </c>
      <c r="F412" s="2">
        <v>3</v>
      </c>
      <c r="G412" s="2" t="s">
        <v>21</v>
      </c>
      <c r="H412" t="str" cm="1">
        <f t="array" ref="H412:J412">_xlfn.XLOOKUP(C412,Products!A:A,Products!B:D)</f>
        <v>Bluetooth Speaker</v>
      </c>
      <c r="I412" t="str">
        <v>Accessories</v>
      </c>
      <c r="J412">
        <v>79.989999999999995</v>
      </c>
      <c r="K412">
        <f t="shared" si="7"/>
        <v>239.96999999999997</v>
      </c>
      <c r="Q412" s="8"/>
    </row>
    <row r="413" spans="1:17" ht="14.25" customHeight="1" x14ac:dyDescent="0.3">
      <c r="A413" s="2" t="s">
        <v>461</v>
      </c>
      <c r="B413" s="2" t="s">
        <v>17</v>
      </c>
      <c r="C413" s="2" t="s">
        <v>7</v>
      </c>
      <c r="D413" s="2" t="s">
        <v>29</v>
      </c>
      <c r="E413" s="2" t="s">
        <v>24</v>
      </c>
      <c r="F413" s="2">
        <v>3</v>
      </c>
      <c r="G413" s="2" t="s">
        <v>61</v>
      </c>
      <c r="H413" t="str" cm="1">
        <f t="array" ref="H413:J413">_xlfn.XLOOKUP(C413,Products!A:A,Products!B:D)</f>
        <v>Smartphone X</v>
      </c>
      <c r="I413" t="str">
        <v>Electronics</v>
      </c>
      <c r="J413">
        <v>999.99</v>
      </c>
      <c r="K413">
        <f t="shared" si="7"/>
        <v>2999.9700000000003</v>
      </c>
      <c r="Q413" s="8"/>
    </row>
    <row r="414" spans="1:17" ht="14.25" customHeight="1" x14ac:dyDescent="0.3">
      <c r="A414" s="2" t="s">
        <v>462</v>
      </c>
      <c r="B414" s="2" t="s">
        <v>56</v>
      </c>
      <c r="C414" s="2" t="s">
        <v>43</v>
      </c>
      <c r="D414" s="2" t="s">
        <v>60</v>
      </c>
      <c r="E414" s="2" t="s">
        <v>47</v>
      </c>
      <c r="F414" s="2">
        <v>3</v>
      </c>
      <c r="G414" s="2" t="s">
        <v>21</v>
      </c>
      <c r="H414" t="str" cm="1">
        <f t="array" ref="H414:J414">_xlfn.XLOOKUP(C414,Products!A:A,Products!B:D)</f>
        <v>Bluetooth Speaker</v>
      </c>
      <c r="I414" t="str">
        <v>Accessories</v>
      </c>
      <c r="J414">
        <v>79.989999999999995</v>
      </c>
      <c r="K414">
        <f t="shared" si="7"/>
        <v>239.96999999999997</v>
      </c>
      <c r="Q414" s="8"/>
    </row>
    <row r="415" spans="1:17" ht="14.25" customHeight="1" x14ac:dyDescent="0.3">
      <c r="A415" s="2" t="s">
        <v>463</v>
      </c>
      <c r="B415" s="2" t="s">
        <v>56</v>
      </c>
      <c r="C415" s="2" t="s">
        <v>30</v>
      </c>
      <c r="D415" s="2" t="s">
        <v>37</v>
      </c>
      <c r="E415" s="2" t="s">
        <v>52</v>
      </c>
      <c r="F415" s="2">
        <v>3</v>
      </c>
      <c r="G415" s="2" t="s">
        <v>21</v>
      </c>
      <c r="H415" t="str" cm="1">
        <f t="array" ref="H415:J415">_xlfn.XLOOKUP(C415,Products!A:A,Products!B:D)</f>
        <v>Wireless Headphones</v>
      </c>
      <c r="I415" t="str">
        <v>Accessories</v>
      </c>
      <c r="J415">
        <v>149.99</v>
      </c>
      <c r="K415">
        <f t="shared" si="7"/>
        <v>449.97</v>
      </c>
      <c r="Q415" s="8"/>
    </row>
    <row r="416" spans="1:17" ht="14.25" customHeight="1" x14ac:dyDescent="0.3">
      <c r="A416" s="2" t="s">
        <v>464</v>
      </c>
      <c r="B416" s="2" t="s">
        <v>56</v>
      </c>
      <c r="C416" s="2" t="s">
        <v>46</v>
      </c>
      <c r="D416" s="2" t="s">
        <v>19</v>
      </c>
      <c r="E416" s="2" t="s">
        <v>20</v>
      </c>
      <c r="F416" s="2">
        <v>4</v>
      </c>
      <c r="G416" s="2" t="s">
        <v>21</v>
      </c>
      <c r="H416" t="str" cm="1">
        <f t="array" ref="H416:J416">_xlfn.XLOOKUP(C416,Products!A:A,Products!B:D)</f>
        <v>Ergonomic Chair</v>
      </c>
      <c r="I416" t="str">
        <v>Furniture</v>
      </c>
      <c r="J416">
        <v>249.99</v>
      </c>
      <c r="K416">
        <f t="shared" si="7"/>
        <v>999.96</v>
      </c>
      <c r="Q416" s="8"/>
    </row>
    <row r="417" spans="1:17" ht="14.25" customHeight="1" x14ac:dyDescent="0.3">
      <c r="A417" s="2" t="s">
        <v>465</v>
      </c>
      <c r="B417" s="2" t="s">
        <v>34</v>
      </c>
      <c r="C417" s="2" t="s">
        <v>35</v>
      </c>
      <c r="D417" s="2" t="s">
        <v>37</v>
      </c>
      <c r="E417" s="2" t="s">
        <v>20</v>
      </c>
      <c r="F417" s="2">
        <v>5</v>
      </c>
      <c r="G417" s="2" t="s">
        <v>21</v>
      </c>
      <c r="H417" t="str" cm="1">
        <f t="array" ref="H417:J417">_xlfn.XLOOKUP(C417,Products!A:A,Products!B:D)</f>
        <v>Mechanical Keyboard</v>
      </c>
      <c r="I417" t="str">
        <v>Accessories</v>
      </c>
      <c r="J417">
        <v>89.99</v>
      </c>
      <c r="K417">
        <f t="shared" si="7"/>
        <v>449.95</v>
      </c>
      <c r="Q417" s="8"/>
    </row>
    <row r="418" spans="1:17" ht="14.25" customHeight="1" x14ac:dyDescent="0.3">
      <c r="A418" s="2" t="s">
        <v>466</v>
      </c>
      <c r="B418" s="2" t="s">
        <v>54</v>
      </c>
      <c r="C418" s="2" t="s">
        <v>46</v>
      </c>
      <c r="D418" s="2" t="s">
        <v>41</v>
      </c>
      <c r="E418" s="2" t="s">
        <v>20</v>
      </c>
      <c r="F418" s="2">
        <v>2</v>
      </c>
      <c r="G418" s="2" t="s">
        <v>21</v>
      </c>
      <c r="H418" t="str" cm="1">
        <f t="array" ref="H418:J418">_xlfn.XLOOKUP(C418,Products!A:A,Products!B:D)</f>
        <v>Ergonomic Chair</v>
      </c>
      <c r="I418" t="str">
        <v>Furniture</v>
      </c>
      <c r="J418">
        <v>249.99</v>
      </c>
      <c r="K418">
        <f t="shared" si="7"/>
        <v>499.98</v>
      </c>
      <c r="Q418" s="8"/>
    </row>
    <row r="419" spans="1:17" ht="14.25" customHeight="1" x14ac:dyDescent="0.3">
      <c r="A419" s="2" t="s">
        <v>467</v>
      </c>
      <c r="B419" s="2" t="s">
        <v>34</v>
      </c>
      <c r="C419" s="2" t="s">
        <v>23</v>
      </c>
      <c r="D419" s="2" t="s">
        <v>37</v>
      </c>
      <c r="E419" s="2" t="s">
        <v>52</v>
      </c>
      <c r="F419" s="2">
        <v>3</v>
      </c>
      <c r="G419" s="2" t="s">
        <v>21</v>
      </c>
      <c r="H419" t="str" cm="1">
        <f t="array" ref="H419:J419">_xlfn.XLOOKUP(C419,Products!A:A,Products!B:D)</f>
        <v>4K Monitor</v>
      </c>
      <c r="I419" t="str">
        <v>Electronics</v>
      </c>
      <c r="J419">
        <v>349.99</v>
      </c>
      <c r="K419">
        <f t="shared" si="7"/>
        <v>1049.97</v>
      </c>
      <c r="Q419" s="8"/>
    </row>
    <row r="420" spans="1:17" ht="14.25" customHeight="1" x14ac:dyDescent="0.3">
      <c r="A420" s="2" t="s">
        <v>468</v>
      </c>
      <c r="B420" s="2" t="s">
        <v>17</v>
      </c>
      <c r="C420" s="2" t="s">
        <v>18</v>
      </c>
      <c r="D420" s="2" t="s">
        <v>37</v>
      </c>
      <c r="E420" s="2" t="s">
        <v>24</v>
      </c>
      <c r="F420" s="2">
        <v>5</v>
      </c>
      <c r="G420" s="2" t="s">
        <v>21</v>
      </c>
      <c r="H420" t="str" cm="1">
        <f t="array" ref="H420:J420">_xlfn.XLOOKUP(C420,Products!A:A,Products!B:D)</f>
        <v>Tablet Air</v>
      </c>
      <c r="I420" t="str">
        <v>Electronics</v>
      </c>
      <c r="J420">
        <v>499.99</v>
      </c>
      <c r="K420">
        <f t="shared" si="7"/>
        <v>2499.9499999999998</v>
      </c>
      <c r="Q420" s="8"/>
    </row>
    <row r="421" spans="1:17" ht="14.25" customHeight="1" x14ac:dyDescent="0.3">
      <c r="A421" s="2" t="s">
        <v>469</v>
      </c>
      <c r="B421" s="2" t="s">
        <v>54</v>
      </c>
      <c r="C421" s="2" t="s">
        <v>23</v>
      </c>
      <c r="D421" s="2" t="s">
        <v>19</v>
      </c>
      <c r="E421" s="2" t="s">
        <v>47</v>
      </c>
      <c r="F421" s="2">
        <v>4</v>
      </c>
      <c r="G421" s="2" t="s">
        <v>61</v>
      </c>
      <c r="H421" t="str" cm="1">
        <f t="array" ref="H421:J421">_xlfn.XLOOKUP(C421,Products!A:A,Products!B:D)</f>
        <v>4K Monitor</v>
      </c>
      <c r="I421" t="str">
        <v>Electronics</v>
      </c>
      <c r="J421">
        <v>349.99</v>
      </c>
      <c r="K421">
        <f t="shared" si="7"/>
        <v>1399.96</v>
      </c>
      <c r="Q421" s="8"/>
    </row>
    <row r="422" spans="1:17" ht="14.25" customHeight="1" x14ac:dyDescent="0.3">
      <c r="A422" s="2" t="s">
        <v>470</v>
      </c>
      <c r="B422" s="2" t="s">
        <v>56</v>
      </c>
      <c r="C422" s="2" t="s">
        <v>30</v>
      </c>
      <c r="D422" s="2" t="s">
        <v>41</v>
      </c>
      <c r="E422" s="2" t="s">
        <v>52</v>
      </c>
      <c r="F422" s="2">
        <v>2</v>
      </c>
      <c r="G422" s="2" t="s">
        <v>21</v>
      </c>
      <c r="H422" t="str" cm="1">
        <f t="array" ref="H422:J422">_xlfn.XLOOKUP(C422,Products!A:A,Products!B:D)</f>
        <v>Wireless Headphones</v>
      </c>
      <c r="I422" t="str">
        <v>Accessories</v>
      </c>
      <c r="J422">
        <v>149.99</v>
      </c>
      <c r="K422">
        <f t="shared" si="7"/>
        <v>299.98</v>
      </c>
      <c r="Q422" s="8"/>
    </row>
    <row r="423" spans="1:17" ht="14.25" customHeight="1" x14ac:dyDescent="0.3">
      <c r="A423" s="2" t="s">
        <v>471</v>
      </c>
      <c r="B423" s="2" t="s">
        <v>27</v>
      </c>
      <c r="C423" s="2" t="s">
        <v>38</v>
      </c>
      <c r="D423" s="2" t="s">
        <v>60</v>
      </c>
      <c r="E423" s="2" t="s">
        <v>20</v>
      </c>
      <c r="F423" s="2">
        <v>3</v>
      </c>
      <c r="G423" s="2" t="s">
        <v>21</v>
      </c>
      <c r="H423" t="str" cm="1">
        <f t="array" ref="H423:J423">_xlfn.XLOOKUP(C423,Products!A:A,Products!B:D)</f>
        <v>Gaming Mouse</v>
      </c>
      <c r="I423" t="str">
        <v>Accessories</v>
      </c>
      <c r="J423">
        <v>49.99</v>
      </c>
      <c r="K423">
        <f t="shared" si="7"/>
        <v>149.97</v>
      </c>
      <c r="Q423" s="8"/>
    </row>
    <row r="424" spans="1:17" ht="14.25" customHeight="1" x14ac:dyDescent="0.3">
      <c r="A424" s="2" t="s">
        <v>472</v>
      </c>
      <c r="B424" s="2" t="s">
        <v>27</v>
      </c>
      <c r="C424" s="2" t="s">
        <v>38</v>
      </c>
      <c r="D424" s="2" t="s">
        <v>60</v>
      </c>
      <c r="E424" s="2" t="s">
        <v>24</v>
      </c>
      <c r="F424" s="2">
        <v>3</v>
      </c>
      <c r="G424" s="2" t="s">
        <v>21</v>
      </c>
      <c r="H424" t="str" cm="1">
        <f t="array" ref="H424:J424">_xlfn.XLOOKUP(C424,Products!A:A,Products!B:D)</f>
        <v>Gaming Mouse</v>
      </c>
      <c r="I424" t="str">
        <v>Accessories</v>
      </c>
      <c r="J424">
        <v>49.99</v>
      </c>
      <c r="K424">
        <f t="shared" si="7"/>
        <v>149.97</v>
      </c>
      <c r="Q424" s="8"/>
    </row>
    <row r="425" spans="1:17" ht="14.25" customHeight="1" x14ac:dyDescent="0.3">
      <c r="A425" s="2" t="s">
        <v>473</v>
      </c>
      <c r="B425" s="2" t="s">
        <v>54</v>
      </c>
      <c r="C425" s="2" t="s">
        <v>7</v>
      </c>
      <c r="D425" s="2" t="s">
        <v>29</v>
      </c>
      <c r="E425" s="2" t="s">
        <v>20</v>
      </c>
      <c r="F425" s="2">
        <v>1</v>
      </c>
      <c r="G425" s="2" t="s">
        <v>21</v>
      </c>
      <c r="H425" t="str" cm="1">
        <f t="array" ref="H425:J425">_xlfn.XLOOKUP(C425,Products!A:A,Products!B:D)</f>
        <v>Smartphone X</v>
      </c>
      <c r="I425" t="str">
        <v>Electronics</v>
      </c>
      <c r="J425">
        <v>999.99</v>
      </c>
      <c r="K425">
        <f t="shared" si="7"/>
        <v>999.99</v>
      </c>
      <c r="Q425" s="8"/>
    </row>
    <row r="426" spans="1:17" ht="14.25" customHeight="1" x14ac:dyDescent="0.3">
      <c r="A426" s="2" t="s">
        <v>474</v>
      </c>
      <c r="B426" s="2" t="s">
        <v>56</v>
      </c>
      <c r="C426" s="2" t="s">
        <v>35</v>
      </c>
      <c r="D426" s="2" t="s">
        <v>29</v>
      </c>
      <c r="E426" s="2" t="s">
        <v>24</v>
      </c>
      <c r="F426" s="2">
        <v>1</v>
      </c>
      <c r="G426" s="2" t="s">
        <v>25</v>
      </c>
      <c r="H426" t="str" cm="1">
        <f t="array" ref="H426:J426">_xlfn.XLOOKUP(C426,Products!A:A,Products!B:D)</f>
        <v>Mechanical Keyboard</v>
      </c>
      <c r="I426" t="str">
        <v>Accessories</v>
      </c>
      <c r="J426">
        <v>89.99</v>
      </c>
      <c r="K426">
        <f t="shared" si="7"/>
        <v>0</v>
      </c>
      <c r="Q426" s="8"/>
    </row>
    <row r="427" spans="1:17" ht="14.25" customHeight="1" x14ac:dyDescent="0.3">
      <c r="A427" s="2" t="s">
        <v>475</v>
      </c>
      <c r="B427" s="2" t="s">
        <v>34</v>
      </c>
      <c r="C427" s="2" t="s">
        <v>35</v>
      </c>
      <c r="D427" s="2" t="s">
        <v>29</v>
      </c>
      <c r="E427" s="2" t="s">
        <v>47</v>
      </c>
      <c r="F427" s="2">
        <v>3</v>
      </c>
      <c r="G427" s="2" t="s">
        <v>21</v>
      </c>
      <c r="H427" t="str" cm="1">
        <f t="array" ref="H427:J427">_xlfn.XLOOKUP(C427,Products!A:A,Products!B:D)</f>
        <v>Mechanical Keyboard</v>
      </c>
      <c r="I427" t="str">
        <v>Accessories</v>
      </c>
      <c r="J427">
        <v>89.99</v>
      </c>
      <c r="K427">
        <f t="shared" si="7"/>
        <v>269.96999999999997</v>
      </c>
      <c r="Q427" s="8"/>
    </row>
    <row r="428" spans="1:17" ht="14.25" customHeight="1" x14ac:dyDescent="0.3">
      <c r="A428" s="2" t="s">
        <v>476</v>
      </c>
      <c r="B428" s="2" t="s">
        <v>56</v>
      </c>
      <c r="C428" s="2" t="s">
        <v>7</v>
      </c>
      <c r="D428" s="2" t="s">
        <v>41</v>
      </c>
      <c r="E428" s="2" t="s">
        <v>20</v>
      </c>
      <c r="F428" s="2">
        <v>4</v>
      </c>
      <c r="G428" s="2" t="s">
        <v>21</v>
      </c>
      <c r="H428" t="str" cm="1">
        <f t="array" ref="H428:J428">_xlfn.XLOOKUP(C428,Products!A:A,Products!B:D)</f>
        <v>Smartphone X</v>
      </c>
      <c r="I428" t="str">
        <v>Electronics</v>
      </c>
      <c r="J428">
        <v>999.99</v>
      </c>
      <c r="K428">
        <f t="shared" si="7"/>
        <v>3999.96</v>
      </c>
      <c r="Q428" s="8"/>
    </row>
    <row r="429" spans="1:17" ht="14.25" customHeight="1" x14ac:dyDescent="0.3">
      <c r="A429" s="2" t="s">
        <v>477</v>
      </c>
      <c r="B429" s="2" t="s">
        <v>56</v>
      </c>
      <c r="C429" s="2" t="s">
        <v>23</v>
      </c>
      <c r="D429" s="2" t="s">
        <v>37</v>
      </c>
      <c r="E429" s="2" t="s">
        <v>47</v>
      </c>
      <c r="F429" s="2">
        <v>4</v>
      </c>
      <c r="G429" s="2" t="s">
        <v>21</v>
      </c>
      <c r="H429" t="str" cm="1">
        <f t="array" ref="H429:J429">_xlfn.XLOOKUP(C429,Products!A:A,Products!B:D)</f>
        <v>4K Monitor</v>
      </c>
      <c r="I429" t="str">
        <v>Electronics</v>
      </c>
      <c r="J429">
        <v>349.99</v>
      </c>
      <c r="K429">
        <f t="shared" si="7"/>
        <v>1399.96</v>
      </c>
      <c r="Q429" s="8"/>
    </row>
    <row r="430" spans="1:17" ht="14.25" customHeight="1" x14ac:dyDescent="0.3">
      <c r="A430" s="2" t="s">
        <v>478</v>
      </c>
      <c r="B430" s="2" t="s">
        <v>54</v>
      </c>
      <c r="C430" s="2" t="s">
        <v>35</v>
      </c>
      <c r="D430" s="2" t="s">
        <v>37</v>
      </c>
      <c r="E430" s="2" t="s">
        <v>24</v>
      </c>
      <c r="F430" s="2">
        <v>4</v>
      </c>
      <c r="G430" s="2" t="s">
        <v>25</v>
      </c>
      <c r="H430" t="str" cm="1">
        <f t="array" ref="H430:J430">_xlfn.XLOOKUP(C430,Products!A:A,Products!B:D)</f>
        <v>Mechanical Keyboard</v>
      </c>
      <c r="I430" t="str">
        <v>Accessories</v>
      </c>
      <c r="J430">
        <v>89.99</v>
      </c>
      <c r="K430">
        <f t="shared" si="7"/>
        <v>0</v>
      </c>
      <c r="Q430" s="8"/>
    </row>
    <row r="431" spans="1:17" ht="14.25" customHeight="1" x14ac:dyDescent="0.3">
      <c r="A431" s="2" t="s">
        <v>479</v>
      </c>
      <c r="B431" s="2" t="s">
        <v>17</v>
      </c>
      <c r="C431" s="2" t="s">
        <v>46</v>
      </c>
      <c r="D431" s="2" t="s">
        <v>19</v>
      </c>
      <c r="E431" s="2" t="s">
        <v>24</v>
      </c>
      <c r="F431" s="2">
        <v>1</v>
      </c>
      <c r="G431" s="2" t="s">
        <v>25</v>
      </c>
      <c r="H431" t="str" cm="1">
        <f t="array" ref="H431:J431">_xlfn.XLOOKUP(C431,Products!A:A,Products!B:D)</f>
        <v>Ergonomic Chair</v>
      </c>
      <c r="I431" t="str">
        <v>Furniture</v>
      </c>
      <c r="J431">
        <v>249.99</v>
      </c>
      <c r="K431">
        <f t="shared" si="7"/>
        <v>0</v>
      </c>
      <c r="Q431" s="8"/>
    </row>
    <row r="432" spans="1:17" ht="14.25" customHeight="1" x14ac:dyDescent="0.3">
      <c r="A432" s="2" t="s">
        <v>480</v>
      </c>
      <c r="B432" s="2" t="s">
        <v>17</v>
      </c>
      <c r="C432" s="2" t="s">
        <v>18</v>
      </c>
      <c r="D432" s="2" t="s">
        <v>19</v>
      </c>
      <c r="E432" s="2" t="s">
        <v>52</v>
      </c>
      <c r="F432" s="2">
        <v>4</v>
      </c>
      <c r="G432" s="2" t="s">
        <v>21</v>
      </c>
      <c r="H432" t="str" cm="1">
        <f t="array" ref="H432:J432">_xlfn.XLOOKUP(C432,Products!A:A,Products!B:D)</f>
        <v>Tablet Air</v>
      </c>
      <c r="I432" t="str">
        <v>Electronics</v>
      </c>
      <c r="J432">
        <v>499.99</v>
      </c>
      <c r="K432">
        <f t="shared" si="7"/>
        <v>1999.96</v>
      </c>
      <c r="Q432" s="8"/>
    </row>
    <row r="433" spans="1:17" ht="14.25" customHeight="1" x14ac:dyDescent="0.3">
      <c r="A433" s="2" t="s">
        <v>481</v>
      </c>
      <c r="B433" s="2" t="s">
        <v>54</v>
      </c>
      <c r="C433" s="2" t="s">
        <v>38</v>
      </c>
      <c r="D433" s="2" t="s">
        <v>60</v>
      </c>
      <c r="E433" s="2" t="s">
        <v>24</v>
      </c>
      <c r="F433" s="2">
        <v>2</v>
      </c>
      <c r="G433" s="2" t="s">
        <v>21</v>
      </c>
      <c r="H433" t="str" cm="1">
        <f t="array" ref="H433:J433">_xlfn.XLOOKUP(C433,Products!A:A,Products!B:D)</f>
        <v>Gaming Mouse</v>
      </c>
      <c r="I433" t="str">
        <v>Accessories</v>
      </c>
      <c r="J433">
        <v>49.99</v>
      </c>
      <c r="K433">
        <f t="shared" si="7"/>
        <v>99.98</v>
      </c>
      <c r="Q433" s="8"/>
    </row>
    <row r="434" spans="1:17" ht="14.25" customHeight="1" x14ac:dyDescent="0.3">
      <c r="A434" s="2" t="s">
        <v>482</v>
      </c>
      <c r="B434" s="2" t="s">
        <v>54</v>
      </c>
      <c r="C434" s="2" t="s">
        <v>43</v>
      </c>
      <c r="D434" s="2" t="s">
        <v>29</v>
      </c>
      <c r="E434" s="2" t="s">
        <v>52</v>
      </c>
      <c r="F434" s="2">
        <v>1</v>
      </c>
      <c r="G434" s="2" t="s">
        <v>21</v>
      </c>
      <c r="H434" t="str" cm="1">
        <f t="array" ref="H434:J434">_xlfn.XLOOKUP(C434,Products!A:A,Products!B:D)</f>
        <v>Bluetooth Speaker</v>
      </c>
      <c r="I434" t="str">
        <v>Accessories</v>
      </c>
      <c r="J434">
        <v>79.989999999999995</v>
      </c>
      <c r="K434">
        <f t="shared" si="7"/>
        <v>79.989999999999995</v>
      </c>
      <c r="Q434" s="8"/>
    </row>
    <row r="435" spans="1:17" ht="14.25" customHeight="1" x14ac:dyDescent="0.3">
      <c r="A435" s="2" t="s">
        <v>483</v>
      </c>
      <c r="B435" s="2" t="s">
        <v>56</v>
      </c>
      <c r="C435" s="2" t="s">
        <v>35</v>
      </c>
      <c r="D435" s="2" t="s">
        <v>37</v>
      </c>
      <c r="E435" s="2" t="s">
        <v>52</v>
      </c>
      <c r="F435" s="2">
        <v>2</v>
      </c>
      <c r="G435" s="2" t="s">
        <v>21</v>
      </c>
      <c r="H435" t="str" cm="1">
        <f t="array" ref="H435:J435">_xlfn.XLOOKUP(C435,Products!A:A,Products!B:D)</f>
        <v>Mechanical Keyboard</v>
      </c>
      <c r="I435" t="str">
        <v>Accessories</v>
      </c>
      <c r="J435">
        <v>89.99</v>
      </c>
      <c r="K435">
        <f t="shared" si="7"/>
        <v>179.98</v>
      </c>
      <c r="Q435" s="8"/>
    </row>
    <row r="436" spans="1:17" ht="14.25" customHeight="1" x14ac:dyDescent="0.3">
      <c r="A436" s="2" t="s">
        <v>484</v>
      </c>
      <c r="B436" s="2" t="s">
        <v>27</v>
      </c>
      <c r="C436" s="2" t="s">
        <v>18</v>
      </c>
      <c r="D436" s="2" t="s">
        <v>37</v>
      </c>
      <c r="E436" s="2" t="s">
        <v>24</v>
      </c>
      <c r="F436" s="2">
        <v>2</v>
      </c>
      <c r="G436" s="2" t="s">
        <v>25</v>
      </c>
      <c r="H436" t="str" cm="1">
        <f t="array" ref="H436:J436">_xlfn.XLOOKUP(C436,Products!A:A,Products!B:D)</f>
        <v>Tablet Air</v>
      </c>
      <c r="I436" t="str">
        <v>Electronics</v>
      </c>
      <c r="J436">
        <v>499.99</v>
      </c>
      <c r="K436">
        <f t="shared" si="7"/>
        <v>0</v>
      </c>
      <c r="Q436" s="8"/>
    </row>
    <row r="437" spans="1:17" ht="14.25" customHeight="1" x14ac:dyDescent="0.3">
      <c r="A437" s="2" t="s">
        <v>485</v>
      </c>
      <c r="B437" s="2" t="s">
        <v>34</v>
      </c>
      <c r="C437" s="2" t="s">
        <v>7</v>
      </c>
      <c r="D437" s="2" t="s">
        <v>29</v>
      </c>
      <c r="E437" s="2" t="s">
        <v>52</v>
      </c>
      <c r="F437" s="2">
        <v>1</v>
      </c>
      <c r="G437" s="2" t="s">
        <v>25</v>
      </c>
      <c r="H437" t="str" cm="1">
        <f t="array" ref="H437:J437">_xlfn.XLOOKUP(C437,Products!A:A,Products!B:D)</f>
        <v>Smartphone X</v>
      </c>
      <c r="I437" t="str">
        <v>Electronics</v>
      </c>
      <c r="J437">
        <v>999.99</v>
      </c>
      <c r="K437">
        <f t="shared" si="7"/>
        <v>0</v>
      </c>
      <c r="Q437" s="8"/>
    </row>
    <row r="438" spans="1:17" ht="14.25" customHeight="1" x14ac:dyDescent="0.3">
      <c r="A438" s="2" t="s">
        <v>486</v>
      </c>
      <c r="B438" s="2" t="s">
        <v>58</v>
      </c>
      <c r="C438" s="2" t="s">
        <v>30</v>
      </c>
      <c r="D438" s="2" t="s">
        <v>60</v>
      </c>
      <c r="E438" s="2" t="s">
        <v>47</v>
      </c>
      <c r="F438" s="2">
        <v>4</v>
      </c>
      <c r="G438" s="2" t="s">
        <v>61</v>
      </c>
      <c r="H438" t="str" cm="1">
        <f t="array" ref="H438:J438">_xlfn.XLOOKUP(C438,Products!A:A,Products!B:D)</f>
        <v>Wireless Headphones</v>
      </c>
      <c r="I438" t="str">
        <v>Accessories</v>
      </c>
      <c r="J438">
        <v>149.99</v>
      </c>
      <c r="K438">
        <f t="shared" si="7"/>
        <v>599.96</v>
      </c>
      <c r="Q438" s="8"/>
    </row>
    <row r="439" spans="1:17" ht="14.25" customHeight="1" x14ac:dyDescent="0.3">
      <c r="A439" s="2" t="s">
        <v>487</v>
      </c>
      <c r="B439" s="2" t="s">
        <v>56</v>
      </c>
      <c r="C439" s="2" t="s">
        <v>46</v>
      </c>
      <c r="D439" s="2" t="s">
        <v>60</v>
      </c>
      <c r="E439" s="2" t="s">
        <v>20</v>
      </c>
      <c r="F439" s="2">
        <v>5</v>
      </c>
      <c r="G439" s="2" t="s">
        <v>21</v>
      </c>
      <c r="H439" t="str" cm="1">
        <f t="array" ref="H439:J439">_xlfn.XLOOKUP(C439,Products!A:A,Products!B:D)</f>
        <v>Ergonomic Chair</v>
      </c>
      <c r="I439" t="str">
        <v>Furniture</v>
      </c>
      <c r="J439">
        <v>249.99</v>
      </c>
      <c r="K439">
        <f t="shared" si="7"/>
        <v>1249.95</v>
      </c>
      <c r="Q439" s="8"/>
    </row>
    <row r="440" spans="1:17" ht="14.25" customHeight="1" x14ac:dyDescent="0.3">
      <c r="A440" s="2" t="s">
        <v>488</v>
      </c>
      <c r="B440" s="2" t="s">
        <v>56</v>
      </c>
      <c r="C440" s="2" t="s">
        <v>18</v>
      </c>
      <c r="D440" s="2" t="s">
        <v>29</v>
      </c>
      <c r="E440" s="2" t="s">
        <v>24</v>
      </c>
      <c r="F440" s="2">
        <v>3</v>
      </c>
      <c r="G440" s="2" t="s">
        <v>21</v>
      </c>
      <c r="H440" t="str" cm="1">
        <f t="array" ref="H440:J440">_xlfn.XLOOKUP(C440,Products!A:A,Products!B:D)</f>
        <v>Tablet Air</v>
      </c>
      <c r="I440" t="str">
        <v>Electronics</v>
      </c>
      <c r="J440">
        <v>499.99</v>
      </c>
      <c r="K440">
        <f t="shared" si="7"/>
        <v>1499.97</v>
      </c>
      <c r="Q440" s="8"/>
    </row>
    <row r="441" spans="1:17" ht="14.25" customHeight="1" x14ac:dyDescent="0.3">
      <c r="A441" s="2" t="s">
        <v>489</v>
      </c>
      <c r="B441" s="2" t="s">
        <v>58</v>
      </c>
      <c r="C441" s="2" t="s">
        <v>30</v>
      </c>
      <c r="D441" s="2" t="s">
        <v>37</v>
      </c>
      <c r="E441" s="2" t="s">
        <v>47</v>
      </c>
      <c r="F441" s="2">
        <v>4</v>
      </c>
      <c r="G441" s="2" t="s">
        <v>21</v>
      </c>
      <c r="H441" t="str" cm="1">
        <f t="array" ref="H441:J441">_xlfn.XLOOKUP(C441,Products!A:A,Products!B:D)</f>
        <v>Wireless Headphones</v>
      </c>
      <c r="I441" t="str">
        <v>Accessories</v>
      </c>
      <c r="J441">
        <v>149.99</v>
      </c>
      <c r="K441">
        <f t="shared" si="7"/>
        <v>599.96</v>
      </c>
      <c r="Q441" s="8"/>
    </row>
    <row r="442" spans="1:17" ht="14.25" customHeight="1" x14ac:dyDescent="0.3">
      <c r="A442" s="2" t="s">
        <v>490</v>
      </c>
      <c r="B442" s="2" t="s">
        <v>56</v>
      </c>
      <c r="C442" s="2" t="s">
        <v>35</v>
      </c>
      <c r="D442" s="2" t="s">
        <v>37</v>
      </c>
      <c r="E442" s="2" t="s">
        <v>52</v>
      </c>
      <c r="F442" s="2">
        <v>2</v>
      </c>
      <c r="G442" s="2" t="s">
        <v>21</v>
      </c>
      <c r="H442" t="str" cm="1">
        <f t="array" ref="H442:J442">_xlfn.XLOOKUP(C442,Products!A:A,Products!B:D)</f>
        <v>Mechanical Keyboard</v>
      </c>
      <c r="I442" t="str">
        <v>Accessories</v>
      </c>
      <c r="J442">
        <v>89.99</v>
      </c>
      <c r="K442">
        <f t="shared" si="7"/>
        <v>179.98</v>
      </c>
      <c r="Q442" s="8"/>
    </row>
    <row r="443" spans="1:17" ht="14.25" customHeight="1" x14ac:dyDescent="0.3">
      <c r="A443" s="2" t="s">
        <v>491</v>
      </c>
      <c r="B443" s="2" t="s">
        <v>54</v>
      </c>
      <c r="C443" s="2" t="s">
        <v>30</v>
      </c>
      <c r="D443" s="2" t="s">
        <v>41</v>
      </c>
      <c r="E443" s="2" t="s">
        <v>52</v>
      </c>
      <c r="F443" s="2">
        <v>2</v>
      </c>
      <c r="G443" s="2" t="s">
        <v>21</v>
      </c>
      <c r="H443" t="str" cm="1">
        <f t="array" ref="H443:J443">_xlfn.XLOOKUP(C443,Products!A:A,Products!B:D)</f>
        <v>Wireless Headphones</v>
      </c>
      <c r="I443" t="str">
        <v>Accessories</v>
      </c>
      <c r="J443">
        <v>149.99</v>
      </c>
      <c r="K443">
        <f t="shared" si="7"/>
        <v>299.98</v>
      </c>
      <c r="Q443" s="8"/>
    </row>
    <row r="444" spans="1:17" ht="14.25" customHeight="1" x14ac:dyDescent="0.3">
      <c r="A444" s="2" t="s">
        <v>492</v>
      </c>
      <c r="B444" s="2" t="s">
        <v>17</v>
      </c>
      <c r="C444" s="2" t="s">
        <v>30</v>
      </c>
      <c r="D444" s="2" t="s">
        <v>60</v>
      </c>
      <c r="E444" s="2" t="s">
        <v>24</v>
      </c>
      <c r="F444" s="2">
        <v>2</v>
      </c>
      <c r="G444" s="2" t="s">
        <v>25</v>
      </c>
      <c r="H444" t="str" cm="1">
        <f t="array" ref="H444:J444">_xlfn.XLOOKUP(C444,Products!A:A,Products!B:D)</f>
        <v>Wireless Headphones</v>
      </c>
      <c r="I444" t="str">
        <v>Accessories</v>
      </c>
      <c r="J444">
        <v>149.99</v>
      </c>
      <c r="K444">
        <f t="shared" si="7"/>
        <v>0</v>
      </c>
      <c r="Q444" s="8"/>
    </row>
    <row r="445" spans="1:17" ht="14.25" customHeight="1" x14ac:dyDescent="0.3">
      <c r="A445" s="2" t="s">
        <v>493</v>
      </c>
      <c r="B445" s="2" t="s">
        <v>56</v>
      </c>
      <c r="C445" s="2" t="s">
        <v>43</v>
      </c>
      <c r="D445" s="2" t="s">
        <v>37</v>
      </c>
      <c r="E445" s="2" t="s">
        <v>47</v>
      </c>
      <c r="F445" s="2">
        <v>1</v>
      </c>
      <c r="G445" s="2" t="s">
        <v>21</v>
      </c>
      <c r="H445" t="str" cm="1">
        <f t="array" ref="H445:J445">_xlfn.XLOOKUP(C445,Products!A:A,Products!B:D)</f>
        <v>Bluetooth Speaker</v>
      </c>
      <c r="I445" t="str">
        <v>Accessories</v>
      </c>
      <c r="J445">
        <v>79.989999999999995</v>
      </c>
      <c r="K445">
        <f t="shared" si="7"/>
        <v>79.989999999999995</v>
      </c>
      <c r="Q445" s="8"/>
    </row>
    <row r="446" spans="1:17" ht="14.25" customHeight="1" x14ac:dyDescent="0.3">
      <c r="A446" s="2" t="s">
        <v>494</v>
      </c>
      <c r="B446" s="2" t="s">
        <v>34</v>
      </c>
      <c r="C446" s="2" t="s">
        <v>18</v>
      </c>
      <c r="D446" s="2" t="s">
        <v>60</v>
      </c>
      <c r="E446" s="2" t="s">
        <v>47</v>
      </c>
      <c r="F446" s="2">
        <v>3</v>
      </c>
      <c r="G446" s="2" t="s">
        <v>25</v>
      </c>
      <c r="H446" t="str" cm="1">
        <f t="array" ref="H446:J446">_xlfn.XLOOKUP(C446,Products!A:A,Products!B:D)</f>
        <v>Tablet Air</v>
      </c>
      <c r="I446" t="str">
        <v>Electronics</v>
      </c>
      <c r="J446">
        <v>499.99</v>
      </c>
      <c r="K446">
        <f t="shared" si="7"/>
        <v>0</v>
      </c>
      <c r="Q446" s="8"/>
    </row>
    <row r="447" spans="1:17" ht="14.25" customHeight="1" x14ac:dyDescent="0.3">
      <c r="A447" s="2" t="s">
        <v>495</v>
      </c>
      <c r="B447" s="2" t="s">
        <v>27</v>
      </c>
      <c r="C447" s="2" t="s">
        <v>38</v>
      </c>
      <c r="D447" s="2" t="s">
        <v>29</v>
      </c>
      <c r="E447" s="2" t="s">
        <v>24</v>
      </c>
      <c r="F447" s="2">
        <v>1</v>
      </c>
      <c r="G447" s="2" t="s">
        <v>25</v>
      </c>
      <c r="H447" t="str" cm="1">
        <f t="array" ref="H447:J447">_xlfn.XLOOKUP(C447,Products!A:A,Products!B:D)</f>
        <v>Gaming Mouse</v>
      </c>
      <c r="I447" t="str">
        <v>Accessories</v>
      </c>
      <c r="J447">
        <v>49.99</v>
      </c>
      <c r="K447">
        <f t="shared" si="7"/>
        <v>0</v>
      </c>
      <c r="Q447" s="8"/>
    </row>
    <row r="448" spans="1:17" ht="14.25" customHeight="1" x14ac:dyDescent="0.3">
      <c r="A448" s="2" t="s">
        <v>496</v>
      </c>
      <c r="B448" s="2" t="s">
        <v>34</v>
      </c>
      <c r="C448" s="2" t="s">
        <v>18</v>
      </c>
      <c r="D448" s="2" t="s">
        <v>41</v>
      </c>
      <c r="E448" s="2" t="s">
        <v>24</v>
      </c>
      <c r="F448" s="2">
        <v>2</v>
      </c>
      <c r="G448" s="2" t="s">
        <v>21</v>
      </c>
      <c r="H448" t="str" cm="1">
        <f t="array" ref="H448:J448">_xlfn.XLOOKUP(C448,Products!A:A,Products!B:D)</f>
        <v>Tablet Air</v>
      </c>
      <c r="I448" t="str">
        <v>Electronics</v>
      </c>
      <c r="J448">
        <v>499.99</v>
      </c>
      <c r="K448">
        <f t="shared" si="7"/>
        <v>999.98</v>
      </c>
      <c r="Q448" s="8"/>
    </row>
    <row r="449" spans="1:17" ht="14.25" customHeight="1" x14ac:dyDescent="0.3">
      <c r="A449" s="2" t="s">
        <v>497</v>
      </c>
      <c r="B449" s="2" t="s">
        <v>27</v>
      </c>
      <c r="C449" s="2" t="s">
        <v>35</v>
      </c>
      <c r="D449" s="2" t="s">
        <v>60</v>
      </c>
      <c r="E449" s="2" t="s">
        <v>47</v>
      </c>
      <c r="F449" s="2">
        <v>4</v>
      </c>
      <c r="G449" s="2" t="s">
        <v>25</v>
      </c>
      <c r="H449" t="str" cm="1">
        <f t="array" ref="H449:J449">_xlfn.XLOOKUP(C449,Products!A:A,Products!B:D)</f>
        <v>Mechanical Keyboard</v>
      </c>
      <c r="I449" t="str">
        <v>Accessories</v>
      </c>
      <c r="J449">
        <v>89.99</v>
      </c>
      <c r="K449">
        <f t="shared" si="7"/>
        <v>0</v>
      </c>
      <c r="Q449" s="8"/>
    </row>
    <row r="450" spans="1:17" ht="14.25" customHeight="1" x14ac:dyDescent="0.3">
      <c r="A450" s="2" t="s">
        <v>498</v>
      </c>
      <c r="B450" s="2" t="s">
        <v>58</v>
      </c>
      <c r="C450" s="2" t="s">
        <v>35</v>
      </c>
      <c r="D450" s="2" t="s">
        <v>60</v>
      </c>
      <c r="E450" s="2" t="s">
        <v>47</v>
      </c>
      <c r="F450" s="2">
        <v>3</v>
      </c>
      <c r="G450" s="2" t="s">
        <v>61</v>
      </c>
      <c r="H450" t="str" cm="1">
        <f t="array" ref="H450:J450">_xlfn.XLOOKUP(C450,Products!A:A,Products!B:D)</f>
        <v>Mechanical Keyboard</v>
      </c>
      <c r="I450" t="str">
        <v>Accessories</v>
      </c>
      <c r="J450">
        <v>89.99</v>
      </c>
      <c r="K450">
        <f t="shared" si="7"/>
        <v>269.96999999999997</v>
      </c>
      <c r="Q450" s="8"/>
    </row>
    <row r="451" spans="1:17" ht="14.25" customHeight="1" x14ac:dyDescent="0.3">
      <c r="A451" s="2" t="s">
        <v>499</v>
      </c>
      <c r="B451" s="2" t="s">
        <v>58</v>
      </c>
      <c r="C451" s="2" t="s">
        <v>7</v>
      </c>
      <c r="D451" s="2" t="s">
        <v>19</v>
      </c>
      <c r="E451" s="2" t="s">
        <v>20</v>
      </c>
      <c r="F451" s="2">
        <v>1</v>
      </c>
      <c r="G451" s="2" t="s">
        <v>21</v>
      </c>
      <c r="H451" t="str" cm="1">
        <f t="array" ref="H451:J451">_xlfn.XLOOKUP(C451,Products!A:A,Products!B:D)</f>
        <v>Smartphone X</v>
      </c>
      <c r="I451" t="str">
        <v>Electronics</v>
      </c>
      <c r="J451">
        <v>999.99</v>
      </c>
      <c r="K451">
        <f t="shared" ref="K451:K514" si="8">IF(G451="Cancelled", 0, F451*J451)</f>
        <v>999.99</v>
      </c>
      <c r="Q451" s="8"/>
    </row>
    <row r="452" spans="1:17" ht="14.25" customHeight="1" x14ac:dyDescent="0.3">
      <c r="A452" s="2" t="s">
        <v>500</v>
      </c>
      <c r="B452" s="2" t="s">
        <v>54</v>
      </c>
      <c r="C452" s="2" t="s">
        <v>46</v>
      </c>
      <c r="D452" s="2" t="s">
        <v>37</v>
      </c>
      <c r="E452" s="2" t="s">
        <v>52</v>
      </c>
      <c r="F452" s="2">
        <v>3</v>
      </c>
      <c r="G452" s="2" t="s">
        <v>61</v>
      </c>
      <c r="H452" t="str" cm="1">
        <f t="array" ref="H452:J452">_xlfn.XLOOKUP(C452,Products!A:A,Products!B:D)</f>
        <v>Ergonomic Chair</v>
      </c>
      <c r="I452" t="str">
        <v>Furniture</v>
      </c>
      <c r="J452">
        <v>249.99</v>
      </c>
      <c r="K452">
        <f t="shared" si="8"/>
        <v>749.97</v>
      </c>
      <c r="Q452" s="8"/>
    </row>
    <row r="453" spans="1:17" ht="14.25" customHeight="1" x14ac:dyDescent="0.3">
      <c r="A453" s="2" t="s">
        <v>501</v>
      </c>
      <c r="B453" s="2" t="s">
        <v>56</v>
      </c>
      <c r="C453" s="2" t="s">
        <v>46</v>
      </c>
      <c r="D453" s="2" t="s">
        <v>37</v>
      </c>
      <c r="E453" s="2" t="s">
        <v>20</v>
      </c>
      <c r="F453" s="2">
        <v>1</v>
      </c>
      <c r="G453" s="2" t="s">
        <v>61</v>
      </c>
      <c r="H453" t="str" cm="1">
        <f t="array" ref="H453:J453">_xlfn.XLOOKUP(C453,Products!A:A,Products!B:D)</f>
        <v>Ergonomic Chair</v>
      </c>
      <c r="I453" t="str">
        <v>Furniture</v>
      </c>
      <c r="J453">
        <v>249.99</v>
      </c>
      <c r="K453">
        <f t="shared" si="8"/>
        <v>249.99</v>
      </c>
      <c r="Q453" s="8"/>
    </row>
    <row r="454" spans="1:17" ht="14.25" customHeight="1" x14ac:dyDescent="0.3">
      <c r="A454" s="2" t="s">
        <v>502</v>
      </c>
      <c r="B454" s="2" t="s">
        <v>58</v>
      </c>
      <c r="C454" s="2" t="s">
        <v>38</v>
      </c>
      <c r="D454" s="2" t="s">
        <v>41</v>
      </c>
      <c r="E454" s="2" t="s">
        <v>47</v>
      </c>
      <c r="F454" s="2">
        <v>2</v>
      </c>
      <c r="G454" s="2" t="s">
        <v>61</v>
      </c>
      <c r="H454" t="str" cm="1">
        <f t="array" ref="H454:J454">_xlfn.XLOOKUP(C454,Products!A:A,Products!B:D)</f>
        <v>Gaming Mouse</v>
      </c>
      <c r="I454" t="str">
        <v>Accessories</v>
      </c>
      <c r="J454">
        <v>49.99</v>
      </c>
      <c r="K454">
        <f t="shared" si="8"/>
        <v>99.98</v>
      </c>
      <c r="Q454" s="8"/>
    </row>
    <row r="455" spans="1:17" ht="14.25" customHeight="1" x14ac:dyDescent="0.3">
      <c r="A455" s="2" t="s">
        <v>503</v>
      </c>
      <c r="B455" s="2" t="s">
        <v>17</v>
      </c>
      <c r="C455" s="2" t="s">
        <v>38</v>
      </c>
      <c r="D455" s="2" t="s">
        <v>41</v>
      </c>
      <c r="E455" s="2" t="s">
        <v>52</v>
      </c>
      <c r="F455" s="2">
        <v>3</v>
      </c>
      <c r="G455" s="2" t="s">
        <v>21</v>
      </c>
      <c r="H455" t="str" cm="1">
        <f t="array" ref="H455:J455">_xlfn.XLOOKUP(C455,Products!A:A,Products!B:D)</f>
        <v>Gaming Mouse</v>
      </c>
      <c r="I455" t="str">
        <v>Accessories</v>
      </c>
      <c r="J455">
        <v>49.99</v>
      </c>
      <c r="K455">
        <f t="shared" si="8"/>
        <v>149.97</v>
      </c>
      <c r="Q455" s="8"/>
    </row>
    <row r="456" spans="1:17" ht="14.25" customHeight="1" x14ac:dyDescent="0.3">
      <c r="A456" s="2" t="s">
        <v>504</v>
      </c>
      <c r="B456" s="2" t="s">
        <v>17</v>
      </c>
      <c r="C456" s="2" t="s">
        <v>46</v>
      </c>
      <c r="D456" s="2" t="s">
        <v>37</v>
      </c>
      <c r="E456" s="2" t="s">
        <v>24</v>
      </c>
      <c r="F456" s="2">
        <v>3</v>
      </c>
      <c r="G456" s="2" t="s">
        <v>21</v>
      </c>
      <c r="H456" t="str" cm="1">
        <f t="array" ref="H456:J456">_xlfn.XLOOKUP(C456,Products!A:A,Products!B:D)</f>
        <v>Ergonomic Chair</v>
      </c>
      <c r="I456" t="str">
        <v>Furniture</v>
      </c>
      <c r="J456">
        <v>249.99</v>
      </c>
      <c r="K456">
        <f t="shared" si="8"/>
        <v>749.97</v>
      </c>
      <c r="Q456" s="8"/>
    </row>
    <row r="457" spans="1:17" ht="14.25" customHeight="1" x14ac:dyDescent="0.3">
      <c r="A457" s="2" t="s">
        <v>505</v>
      </c>
      <c r="B457" s="2" t="s">
        <v>34</v>
      </c>
      <c r="C457" s="2" t="s">
        <v>30</v>
      </c>
      <c r="D457" s="2" t="s">
        <v>37</v>
      </c>
      <c r="E457" s="2" t="s">
        <v>20</v>
      </c>
      <c r="F457" s="2">
        <v>3</v>
      </c>
      <c r="G457" s="2" t="s">
        <v>25</v>
      </c>
      <c r="H457" t="str" cm="1">
        <f t="array" ref="H457:J457">_xlfn.XLOOKUP(C457,Products!A:A,Products!B:D)</f>
        <v>Wireless Headphones</v>
      </c>
      <c r="I457" t="str">
        <v>Accessories</v>
      </c>
      <c r="J457">
        <v>149.99</v>
      </c>
      <c r="K457">
        <f t="shared" si="8"/>
        <v>0</v>
      </c>
      <c r="Q457" s="8"/>
    </row>
    <row r="458" spans="1:17" ht="14.25" customHeight="1" x14ac:dyDescent="0.3">
      <c r="A458" s="2" t="s">
        <v>506</v>
      </c>
      <c r="B458" s="2" t="s">
        <v>58</v>
      </c>
      <c r="C458" s="2" t="s">
        <v>46</v>
      </c>
      <c r="D458" s="2" t="s">
        <v>29</v>
      </c>
      <c r="E458" s="2" t="s">
        <v>47</v>
      </c>
      <c r="F458" s="2">
        <v>4</v>
      </c>
      <c r="G458" s="2" t="s">
        <v>61</v>
      </c>
      <c r="H458" t="str" cm="1">
        <f t="array" ref="H458:J458">_xlfn.XLOOKUP(C458,Products!A:A,Products!B:D)</f>
        <v>Ergonomic Chair</v>
      </c>
      <c r="I458" t="str">
        <v>Furniture</v>
      </c>
      <c r="J458">
        <v>249.99</v>
      </c>
      <c r="K458">
        <f t="shared" si="8"/>
        <v>999.96</v>
      </c>
      <c r="Q458" s="8"/>
    </row>
    <row r="459" spans="1:17" ht="14.25" customHeight="1" x14ac:dyDescent="0.3">
      <c r="A459" s="2" t="s">
        <v>507</v>
      </c>
      <c r="B459" s="2" t="s">
        <v>27</v>
      </c>
      <c r="C459" s="2" t="s">
        <v>23</v>
      </c>
      <c r="D459" s="2" t="s">
        <v>60</v>
      </c>
      <c r="E459" s="2" t="s">
        <v>52</v>
      </c>
      <c r="F459" s="2">
        <v>3</v>
      </c>
      <c r="G459" s="2" t="s">
        <v>21</v>
      </c>
      <c r="H459" t="str" cm="1">
        <f t="array" ref="H459:J459">_xlfn.XLOOKUP(C459,Products!A:A,Products!B:D)</f>
        <v>4K Monitor</v>
      </c>
      <c r="I459" t="str">
        <v>Electronics</v>
      </c>
      <c r="J459">
        <v>349.99</v>
      </c>
      <c r="K459">
        <f t="shared" si="8"/>
        <v>1049.97</v>
      </c>
      <c r="Q459" s="8"/>
    </row>
    <row r="460" spans="1:17" ht="14.25" customHeight="1" x14ac:dyDescent="0.3">
      <c r="A460" s="2" t="s">
        <v>508</v>
      </c>
      <c r="B460" s="2" t="s">
        <v>27</v>
      </c>
      <c r="C460" s="2" t="s">
        <v>46</v>
      </c>
      <c r="D460" s="2" t="s">
        <v>37</v>
      </c>
      <c r="E460" s="2" t="s">
        <v>47</v>
      </c>
      <c r="F460" s="2">
        <v>5</v>
      </c>
      <c r="G460" s="2" t="s">
        <v>21</v>
      </c>
      <c r="H460" t="str" cm="1">
        <f t="array" ref="H460:J460">_xlfn.XLOOKUP(C460,Products!A:A,Products!B:D)</f>
        <v>Ergonomic Chair</v>
      </c>
      <c r="I460" t="str">
        <v>Furniture</v>
      </c>
      <c r="J460">
        <v>249.99</v>
      </c>
      <c r="K460">
        <f t="shared" si="8"/>
        <v>1249.95</v>
      </c>
      <c r="Q460" s="8"/>
    </row>
    <row r="461" spans="1:17" ht="14.25" customHeight="1" x14ac:dyDescent="0.3">
      <c r="A461" s="2" t="s">
        <v>509</v>
      </c>
      <c r="B461" s="2" t="s">
        <v>34</v>
      </c>
      <c r="C461" s="2" t="s">
        <v>35</v>
      </c>
      <c r="D461" s="2" t="s">
        <v>37</v>
      </c>
      <c r="E461" s="2" t="s">
        <v>52</v>
      </c>
      <c r="F461" s="2">
        <v>3</v>
      </c>
      <c r="G461" s="2" t="s">
        <v>61</v>
      </c>
      <c r="H461" t="str" cm="1">
        <f t="array" ref="H461:J461">_xlfn.XLOOKUP(C461,Products!A:A,Products!B:D)</f>
        <v>Mechanical Keyboard</v>
      </c>
      <c r="I461" t="str">
        <v>Accessories</v>
      </c>
      <c r="J461">
        <v>89.99</v>
      </c>
      <c r="K461">
        <f t="shared" si="8"/>
        <v>269.96999999999997</v>
      </c>
      <c r="Q461" s="8"/>
    </row>
    <row r="462" spans="1:17" ht="14.25" customHeight="1" x14ac:dyDescent="0.3">
      <c r="A462" s="2" t="s">
        <v>510</v>
      </c>
      <c r="B462" s="2" t="s">
        <v>17</v>
      </c>
      <c r="C462" s="2" t="s">
        <v>18</v>
      </c>
      <c r="D462" s="2" t="s">
        <v>41</v>
      </c>
      <c r="E462" s="2" t="s">
        <v>20</v>
      </c>
      <c r="F462" s="2">
        <v>1</v>
      </c>
      <c r="G462" s="2" t="s">
        <v>21</v>
      </c>
      <c r="H462" t="str" cm="1">
        <f t="array" ref="H462:J462">_xlfn.XLOOKUP(C462,Products!A:A,Products!B:D)</f>
        <v>Tablet Air</v>
      </c>
      <c r="I462" t="str">
        <v>Electronics</v>
      </c>
      <c r="J462">
        <v>499.99</v>
      </c>
      <c r="K462">
        <f t="shared" si="8"/>
        <v>499.99</v>
      </c>
      <c r="Q462" s="8"/>
    </row>
    <row r="463" spans="1:17" ht="14.25" customHeight="1" x14ac:dyDescent="0.3">
      <c r="A463" s="2" t="s">
        <v>511</v>
      </c>
      <c r="B463" s="2" t="s">
        <v>54</v>
      </c>
      <c r="C463" s="2" t="s">
        <v>30</v>
      </c>
      <c r="D463" s="2" t="s">
        <v>19</v>
      </c>
      <c r="E463" s="2" t="s">
        <v>52</v>
      </c>
      <c r="F463" s="2">
        <v>4</v>
      </c>
      <c r="G463" s="2" t="s">
        <v>61</v>
      </c>
      <c r="H463" t="str" cm="1">
        <f t="array" ref="H463:J463">_xlfn.XLOOKUP(C463,Products!A:A,Products!B:D)</f>
        <v>Wireless Headphones</v>
      </c>
      <c r="I463" t="str">
        <v>Accessories</v>
      </c>
      <c r="J463">
        <v>149.99</v>
      </c>
      <c r="K463">
        <f t="shared" si="8"/>
        <v>599.96</v>
      </c>
      <c r="Q463" s="8"/>
    </row>
    <row r="464" spans="1:17" ht="14.25" customHeight="1" x14ac:dyDescent="0.3">
      <c r="A464" s="2" t="s">
        <v>512</v>
      </c>
      <c r="B464" s="2" t="s">
        <v>27</v>
      </c>
      <c r="C464" s="2" t="s">
        <v>18</v>
      </c>
      <c r="D464" s="2" t="s">
        <v>60</v>
      </c>
      <c r="E464" s="2" t="s">
        <v>47</v>
      </c>
      <c r="F464" s="2">
        <v>1</v>
      </c>
      <c r="G464" s="2" t="s">
        <v>21</v>
      </c>
      <c r="H464" t="str" cm="1">
        <f t="array" ref="H464:J464">_xlfn.XLOOKUP(C464,Products!A:A,Products!B:D)</f>
        <v>Tablet Air</v>
      </c>
      <c r="I464" t="str">
        <v>Electronics</v>
      </c>
      <c r="J464">
        <v>499.99</v>
      </c>
      <c r="K464">
        <f t="shared" si="8"/>
        <v>499.99</v>
      </c>
      <c r="Q464" s="8"/>
    </row>
    <row r="465" spans="1:17" ht="14.25" customHeight="1" x14ac:dyDescent="0.3">
      <c r="A465" s="2" t="s">
        <v>513</v>
      </c>
      <c r="B465" s="2" t="s">
        <v>27</v>
      </c>
      <c r="C465" s="2" t="s">
        <v>18</v>
      </c>
      <c r="D465" s="2" t="s">
        <v>60</v>
      </c>
      <c r="E465" s="2" t="s">
        <v>47</v>
      </c>
      <c r="F465" s="2">
        <v>5</v>
      </c>
      <c r="G465" s="2" t="s">
        <v>21</v>
      </c>
      <c r="H465" t="str" cm="1">
        <f t="array" ref="H465:J465">_xlfn.XLOOKUP(C465,Products!A:A,Products!B:D)</f>
        <v>Tablet Air</v>
      </c>
      <c r="I465" t="str">
        <v>Electronics</v>
      </c>
      <c r="J465">
        <v>499.99</v>
      </c>
      <c r="K465">
        <f t="shared" si="8"/>
        <v>2499.9499999999998</v>
      </c>
      <c r="Q465" s="8"/>
    </row>
    <row r="466" spans="1:17" ht="14.25" customHeight="1" x14ac:dyDescent="0.3">
      <c r="A466" s="2" t="s">
        <v>514</v>
      </c>
      <c r="B466" s="2" t="s">
        <v>58</v>
      </c>
      <c r="C466" s="2" t="s">
        <v>30</v>
      </c>
      <c r="D466" s="2" t="s">
        <v>37</v>
      </c>
      <c r="E466" s="2" t="s">
        <v>24</v>
      </c>
      <c r="F466" s="2">
        <v>3</v>
      </c>
      <c r="G466" s="2" t="s">
        <v>21</v>
      </c>
      <c r="H466" t="str" cm="1">
        <f t="array" ref="H466:J466">_xlfn.XLOOKUP(C466,Products!A:A,Products!B:D)</f>
        <v>Wireless Headphones</v>
      </c>
      <c r="I466" t="str">
        <v>Accessories</v>
      </c>
      <c r="J466">
        <v>149.99</v>
      </c>
      <c r="K466">
        <f t="shared" si="8"/>
        <v>449.97</v>
      </c>
      <c r="Q466" s="8"/>
    </row>
    <row r="467" spans="1:17" ht="14.25" customHeight="1" x14ac:dyDescent="0.3">
      <c r="A467" s="2" t="s">
        <v>515</v>
      </c>
      <c r="B467" s="2" t="s">
        <v>56</v>
      </c>
      <c r="C467" s="2" t="s">
        <v>35</v>
      </c>
      <c r="D467" s="2" t="s">
        <v>41</v>
      </c>
      <c r="E467" s="2" t="s">
        <v>20</v>
      </c>
      <c r="F467" s="2">
        <v>5</v>
      </c>
      <c r="G467" s="2" t="s">
        <v>21</v>
      </c>
      <c r="H467" t="str" cm="1">
        <f t="array" ref="H467:J467">_xlfn.XLOOKUP(C467,Products!A:A,Products!B:D)</f>
        <v>Mechanical Keyboard</v>
      </c>
      <c r="I467" t="str">
        <v>Accessories</v>
      </c>
      <c r="J467">
        <v>89.99</v>
      </c>
      <c r="K467">
        <f t="shared" si="8"/>
        <v>449.95</v>
      </c>
      <c r="Q467" s="8"/>
    </row>
    <row r="468" spans="1:17" ht="14.25" customHeight="1" x14ac:dyDescent="0.3">
      <c r="A468" s="2" t="s">
        <v>516</v>
      </c>
      <c r="B468" s="2" t="s">
        <v>27</v>
      </c>
      <c r="C468" s="2" t="s">
        <v>30</v>
      </c>
      <c r="D468" s="2" t="s">
        <v>29</v>
      </c>
      <c r="E468" s="2" t="s">
        <v>47</v>
      </c>
      <c r="F468" s="2">
        <v>3</v>
      </c>
      <c r="G468" s="2" t="s">
        <v>25</v>
      </c>
      <c r="H468" t="str" cm="1">
        <f t="array" ref="H468:J468">_xlfn.XLOOKUP(C468,Products!A:A,Products!B:D)</f>
        <v>Wireless Headphones</v>
      </c>
      <c r="I468" t="str">
        <v>Accessories</v>
      </c>
      <c r="J468">
        <v>149.99</v>
      </c>
      <c r="K468">
        <f t="shared" si="8"/>
        <v>0</v>
      </c>
      <c r="Q468" s="8"/>
    </row>
    <row r="469" spans="1:17" ht="14.25" customHeight="1" x14ac:dyDescent="0.3">
      <c r="A469" s="2" t="s">
        <v>517</v>
      </c>
      <c r="B469" s="2" t="s">
        <v>34</v>
      </c>
      <c r="C469" s="2" t="s">
        <v>43</v>
      </c>
      <c r="D469" s="2" t="s">
        <v>41</v>
      </c>
      <c r="E469" s="2" t="s">
        <v>52</v>
      </c>
      <c r="F469" s="2">
        <v>4</v>
      </c>
      <c r="G469" s="2" t="s">
        <v>61</v>
      </c>
      <c r="H469" t="str" cm="1">
        <f t="array" ref="H469:J469">_xlfn.XLOOKUP(C469,Products!A:A,Products!B:D)</f>
        <v>Bluetooth Speaker</v>
      </c>
      <c r="I469" t="str">
        <v>Accessories</v>
      </c>
      <c r="J469">
        <v>79.989999999999995</v>
      </c>
      <c r="K469">
        <f t="shared" si="8"/>
        <v>319.95999999999998</v>
      </c>
      <c r="Q469" s="8"/>
    </row>
    <row r="470" spans="1:17" ht="14.25" customHeight="1" x14ac:dyDescent="0.3">
      <c r="A470" s="2" t="s">
        <v>518</v>
      </c>
      <c r="B470" s="2" t="s">
        <v>54</v>
      </c>
      <c r="C470" s="2" t="s">
        <v>38</v>
      </c>
      <c r="D470" s="2" t="s">
        <v>29</v>
      </c>
      <c r="E470" s="2" t="s">
        <v>52</v>
      </c>
      <c r="F470" s="2">
        <v>4</v>
      </c>
      <c r="G470" s="2" t="s">
        <v>21</v>
      </c>
      <c r="H470" t="str" cm="1">
        <f t="array" ref="H470:J470">_xlfn.XLOOKUP(C470,Products!A:A,Products!B:D)</f>
        <v>Gaming Mouse</v>
      </c>
      <c r="I470" t="str">
        <v>Accessories</v>
      </c>
      <c r="J470">
        <v>49.99</v>
      </c>
      <c r="K470">
        <f t="shared" si="8"/>
        <v>199.96</v>
      </c>
      <c r="Q470" s="8"/>
    </row>
    <row r="471" spans="1:17" ht="14.25" customHeight="1" x14ac:dyDescent="0.3">
      <c r="A471" s="2" t="s">
        <v>519</v>
      </c>
      <c r="B471" s="2" t="s">
        <v>17</v>
      </c>
      <c r="C471" s="2" t="s">
        <v>7</v>
      </c>
      <c r="D471" s="2" t="s">
        <v>19</v>
      </c>
      <c r="E471" s="2" t="s">
        <v>20</v>
      </c>
      <c r="F471" s="2">
        <v>2</v>
      </c>
      <c r="G471" s="2" t="s">
        <v>21</v>
      </c>
      <c r="H471" t="str" cm="1">
        <f t="array" ref="H471:J471">_xlfn.XLOOKUP(C471,Products!A:A,Products!B:D)</f>
        <v>Smartphone X</v>
      </c>
      <c r="I471" t="str">
        <v>Electronics</v>
      </c>
      <c r="J471">
        <v>999.99</v>
      </c>
      <c r="K471">
        <f t="shared" si="8"/>
        <v>1999.98</v>
      </c>
      <c r="Q471" s="8"/>
    </row>
    <row r="472" spans="1:17" ht="14.25" customHeight="1" x14ac:dyDescent="0.3">
      <c r="A472" s="2" t="s">
        <v>520</v>
      </c>
      <c r="B472" s="2" t="s">
        <v>54</v>
      </c>
      <c r="C472" s="2" t="s">
        <v>38</v>
      </c>
      <c r="D472" s="2" t="s">
        <v>60</v>
      </c>
      <c r="E472" s="2" t="s">
        <v>24</v>
      </c>
      <c r="F472" s="2">
        <v>4</v>
      </c>
      <c r="G472" s="2" t="s">
        <v>61</v>
      </c>
      <c r="H472" t="str" cm="1">
        <f t="array" ref="H472:J472">_xlfn.XLOOKUP(C472,Products!A:A,Products!B:D)</f>
        <v>Gaming Mouse</v>
      </c>
      <c r="I472" t="str">
        <v>Accessories</v>
      </c>
      <c r="J472">
        <v>49.99</v>
      </c>
      <c r="K472">
        <f t="shared" si="8"/>
        <v>199.96</v>
      </c>
      <c r="Q472" s="8"/>
    </row>
    <row r="473" spans="1:17" ht="14.25" customHeight="1" x14ac:dyDescent="0.3">
      <c r="A473" s="2" t="s">
        <v>521</v>
      </c>
      <c r="B473" s="2" t="s">
        <v>34</v>
      </c>
      <c r="C473" s="2" t="s">
        <v>43</v>
      </c>
      <c r="D473" s="2" t="s">
        <v>41</v>
      </c>
      <c r="E473" s="2" t="s">
        <v>52</v>
      </c>
      <c r="F473" s="2">
        <v>2</v>
      </c>
      <c r="G473" s="2" t="s">
        <v>21</v>
      </c>
      <c r="H473" t="str" cm="1">
        <f t="array" ref="H473:J473">_xlfn.XLOOKUP(C473,Products!A:A,Products!B:D)</f>
        <v>Bluetooth Speaker</v>
      </c>
      <c r="I473" t="str">
        <v>Accessories</v>
      </c>
      <c r="J473">
        <v>79.989999999999995</v>
      </c>
      <c r="K473">
        <f t="shared" si="8"/>
        <v>159.97999999999999</v>
      </c>
      <c r="Q473" s="8"/>
    </row>
    <row r="474" spans="1:17" ht="14.25" customHeight="1" x14ac:dyDescent="0.3">
      <c r="A474" s="2" t="s">
        <v>522</v>
      </c>
      <c r="B474" s="2" t="s">
        <v>54</v>
      </c>
      <c r="C474" s="2" t="s">
        <v>30</v>
      </c>
      <c r="D474" s="2" t="s">
        <v>37</v>
      </c>
      <c r="E474" s="2" t="s">
        <v>52</v>
      </c>
      <c r="F474" s="2">
        <v>1</v>
      </c>
      <c r="G474" s="2" t="s">
        <v>21</v>
      </c>
      <c r="H474" t="str" cm="1">
        <f t="array" ref="H474:J474">_xlfn.XLOOKUP(C474,Products!A:A,Products!B:D)</f>
        <v>Wireless Headphones</v>
      </c>
      <c r="I474" t="str">
        <v>Accessories</v>
      </c>
      <c r="J474">
        <v>149.99</v>
      </c>
      <c r="K474">
        <f t="shared" si="8"/>
        <v>149.99</v>
      </c>
      <c r="Q474" s="8"/>
    </row>
    <row r="475" spans="1:17" ht="14.25" customHeight="1" x14ac:dyDescent="0.3">
      <c r="A475" s="2" t="s">
        <v>523</v>
      </c>
      <c r="B475" s="2" t="s">
        <v>27</v>
      </c>
      <c r="C475" s="2" t="s">
        <v>23</v>
      </c>
      <c r="D475" s="2" t="s">
        <v>29</v>
      </c>
      <c r="E475" s="2" t="s">
        <v>24</v>
      </c>
      <c r="F475" s="2">
        <v>4</v>
      </c>
      <c r="G475" s="2" t="s">
        <v>25</v>
      </c>
      <c r="H475" t="str" cm="1">
        <f t="array" ref="H475:J475">_xlfn.XLOOKUP(C475,Products!A:A,Products!B:D)</f>
        <v>4K Monitor</v>
      </c>
      <c r="I475" t="str">
        <v>Electronics</v>
      </c>
      <c r="J475">
        <v>349.99</v>
      </c>
      <c r="K475">
        <f t="shared" si="8"/>
        <v>0</v>
      </c>
      <c r="Q475" s="8"/>
    </row>
    <row r="476" spans="1:17" ht="14.25" customHeight="1" x14ac:dyDescent="0.3">
      <c r="A476" s="2" t="s">
        <v>524</v>
      </c>
      <c r="B476" s="2" t="s">
        <v>27</v>
      </c>
      <c r="C476" s="2" t="s">
        <v>7</v>
      </c>
      <c r="D476" s="2" t="s">
        <v>60</v>
      </c>
      <c r="E476" s="2" t="s">
        <v>47</v>
      </c>
      <c r="F476" s="2">
        <v>4</v>
      </c>
      <c r="G476" s="2" t="s">
        <v>21</v>
      </c>
      <c r="H476" t="str" cm="1">
        <f t="array" ref="H476:J476">_xlfn.XLOOKUP(C476,Products!A:A,Products!B:D)</f>
        <v>Smartphone X</v>
      </c>
      <c r="I476" t="str">
        <v>Electronics</v>
      </c>
      <c r="J476">
        <v>999.99</v>
      </c>
      <c r="K476">
        <f t="shared" si="8"/>
        <v>3999.96</v>
      </c>
      <c r="Q476" s="8"/>
    </row>
    <row r="477" spans="1:17" ht="14.25" customHeight="1" x14ac:dyDescent="0.3">
      <c r="A477" s="2" t="s">
        <v>525</v>
      </c>
      <c r="B477" s="2" t="s">
        <v>27</v>
      </c>
      <c r="C477" s="2" t="s">
        <v>18</v>
      </c>
      <c r="D477" s="2" t="s">
        <v>29</v>
      </c>
      <c r="E477" s="2" t="s">
        <v>47</v>
      </c>
      <c r="F477" s="2">
        <v>5</v>
      </c>
      <c r="G477" s="2" t="s">
        <v>25</v>
      </c>
      <c r="H477" t="str" cm="1">
        <f t="array" ref="H477:J477">_xlfn.XLOOKUP(C477,Products!A:A,Products!B:D)</f>
        <v>Tablet Air</v>
      </c>
      <c r="I477" t="str">
        <v>Electronics</v>
      </c>
      <c r="J477">
        <v>499.99</v>
      </c>
      <c r="K477">
        <f t="shared" si="8"/>
        <v>0</v>
      </c>
      <c r="Q477" s="8"/>
    </row>
    <row r="478" spans="1:17" ht="14.25" customHeight="1" x14ac:dyDescent="0.3">
      <c r="A478" s="2" t="s">
        <v>526</v>
      </c>
      <c r="B478" s="2" t="s">
        <v>58</v>
      </c>
      <c r="C478" s="2" t="s">
        <v>35</v>
      </c>
      <c r="D478" s="2" t="s">
        <v>60</v>
      </c>
      <c r="E478" s="2" t="s">
        <v>24</v>
      </c>
      <c r="F478" s="2">
        <v>3</v>
      </c>
      <c r="G478" s="2" t="s">
        <v>21</v>
      </c>
      <c r="H478" t="str" cm="1">
        <f t="array" ref="H478:J478">_xlfn.XLOOKUP(C478,Products!A:A,Products!B:D)</f>
        <v>Mechanical Keyboard</v>
      </c>
      <c r="I478" t="str">
        <v>Accessories</v>
      </c>
      <c r="J478">
        <v>89.99</v>
      </c>
      <c r="K478">
        <f t="shared" si="8"/>
        <v>269.96999999999997</v>
      </c>
      <c r="Q478" s="8"/>
    </row>
    <row r="479" spans="1:17" ht="14.25" customHeight="1" x14ac:dyDescent="0.3">
      <c r="A479" s="2" t="s">
        <v>527</v>
      </c>
      <c r="B479" s="2" t="s">
        <v>56</v>
      </c>
      <c r="C479" s="2" t="s">
        <v>38</v>
      </c>
      <c r="D479" s="2" t="s">
        <v>60</v>
      </c>
      <c r="E479" s="2" t="s">
        <v>52</v>
      </c>
      <c r="F479" s="2">
        <v>3</v>
      </c>
      <c r="G479" s="2" t="s">
        <v>21</v>
      </c>
      <c r="H479" t="str" cm="1">
        <f t="array" ref="H479:J479">_xlfn.XLOOKUP(C479,Products!A:A,Products!B:D)</f>
        <v>Gaming Mouse</v>
      </c>
      <c r="I479" t="str">
        <v>Accessories</v>
      </c>
      <c r="J479">
        <v>49.99</v>
      </c>
      <c r="K479">
        <f t="shared" si="8"/>
        <v>149.97</v>
      </c>
      <c r="Q479" s="8"/>
    </row>
    <row r="480" spans="1:17" ht="14.25" customHeight="1" x14ac:dyDescent="0.3">
      <c r="A480" s="2" t="s">
        <v>528</v>
      </c>
      <c r="B480" s="2" t="s">
        <v>54</v>
      </c>
      <c r="C480" s="2" t="s">
        <v>23</v>
      </c>
      <c r="D480" s="2" t="s">
        <v>29</v>
      </c>
      <c r="E480" s="2" t="s">
        <v>47</v>
      </c>
      <c r="F480" s="2">
        <v>5</v>
      </c>
      <c r="G480" s="2" t="s">
        <v>21</v>
      </c>
      <c r="H480" t="str" cm="1">
        <f t="array" ref="H480:J480">_xlfn.XLOOKUP(C480,Products!A:A,Products!B:D)</f>
        <v>4K Monitor</v>
      </c>
      <c r="I480" t="str">
        <v>Electronics</v>
      </c>
      <c r="J480">
        <v>349.99</v>
      </c>
      <c r="K480">
        <f t="shared" si="8"/>
        <v>1749.95</v>
      </c>
      <c r="Q480" s="8"/>
    </row>
    <row r="481" spans="1:17" ht="14.25" customHeight="1" x14ac:dyDescent="0.3">
      <c r="A481" s="2" t="s">
        <v>529</v>
      </c>
      <c r="B481" s="2" t="s">
        <v>56</v>
      </c>
      <c r="C481" s="2" t="s">
        <v>30</v>
      </c>
      <c r="D481" s="2" t="s">
        <v>29</v>
      </c>
      <c r="E481" s="2" t="s">
        <v>47</v>
      </c>
      <c r="F481" s="2">
        <v>4</v>
      </c>
      <c r="G481" s="2" t="s">
        <v>61</v>
      </c>
      <c r="H481" t="str" cm="1">
        <f t="array" ref="H481:J481">_xlfn.XLOOKUP(C481,Products!A:A,Products!B:D)</f>
        <v>Wireless Headphones</v>
      </c>
      <c r="I481" t="str">
        <v>Accessories</v>
      </c>
      <c r="J481">
        <v>149.99</v>
      </c>
      <c r="K481">
        <f t="shared" si="8"/>
        <v>599.96</v>
      </c>
      <c r="Q481" s="8"/>
    </row>
    <row r="482" spans="1:17" ht="14.25" customHeight="1" x14ac:dyDescent="0.3">
      <c r="A482" s="2" t="s">
        <v>530</v>
      </c>
      <c r="B482" s="2" t="s">
        <v>27</v>
      </c>
      <c r="C482" s="2" t="s">
        <v>30</v>
      </c>
      <c r="D482" s="2" t="s">
        <v>60</v>
      </c>
      <c r="E482" s="2" t="s">
        <v>52</v>
      </c>
      <c r="F482" s="2">
        <v>3</v>
      </c>
      <c r="G482" s="2" t="s">
        <v>21</v>
      </c>
      <c r="H482" t="str" cm="1">
        <f t="array" ref="H482:J482">_xlfn.XLOOKUP(C482,Products!A:A,Products!B:D)</f>
        <v>Wireless Headphones</v>
      </c>
      <c r="I482" t="str">
        <v>Accessories</v>
      </c>
      <c r="J482">
        <v>149.99</v>
      </c>
      <c r="K482">
        <f t="shared" si="8"/>
        <v>449.97</v>
      </c>
      <c r="Q482" s="8"/>
    </row>
    <row r="483" spans="1:17" ht="14.25" customHeight="1" x14ac:dyDescent="0.3">
      <c r="A483" s="2" t="s">
        <v>531</v>
      </c>
      <c r="B483" s="2" t="s">
        <v>34</v>
      </c>
      <c r="C483" s="2" t="s">
        <v>46</v>
      </c>
      <c r="D483" s="2" t="s">
        <v>41</v>
      </c>
      <c r="E483" s="2" t="s">
        <v>47</v>
      </c>
      <c r="F483" s="2">
        <v>4</v>
      </c>
      <c r="G483" s="2" t="s">
        <v>61</v>
      </c>
      <c r="H483" t="str" cm="1">
        <f t="array" ref="H483:J483">_xlfn.XLOOKUP(C483,Products!A:A,Products!B:D)</f>
        <v>Ergonomic Chair</v>
      </c>
      <c r="I483" t="str">
        <v>Furniture</v>
      </c>
      <c r="J483">
        <v>249.99</v>
      </c>
      <c r="K483">
        <f t="shared" si="8"/>
        <v>999.96</v>
      </c>
      <c r="Q483" s="8"/>
    </row>
    <row r="484" spans="1:17" ht="14.25" customHeight="1" x14ac:dyDescent="0.3">
      <c r="A484" s="2" t="s">
        <v>532</v>
      </c>
      <c r="B484" s="2" t="s">
        <v>17</v>
      </c>
      <c r="C484" s="2" t="s">
        <v>23</v>
      </c>
      <c r="D484" s="2" t="s">
        <v>60</v>
      </c>
      <c r="E484" s="2" t="s">
        <v>24</v>
      </c>
      <c r="F484" s="2">
        <v>3</v>
      </c>
      <c r="G484" s="2" t="s">
        <v>21</v>
      </c>
      <c r="H484" t="str" cm="1">
        <f t="array" ref="H484:J484">_xlfn.XLOOKUP(C484,Products!A:A,Products!B:D)</f>
        <v>4K Monitor</v>
      </c>
      <c r="I484" t="str">
        <v>Electronics</v>
      </c>
      <c r="J484">
        <v>349.99</v>
      </c>
      <c r="K484">
        <f t="shared" si="8"/>
        <v>1049.97</v>
      </c>
      <c r="Q484" s="8"/>
    </row>
    <row r="485" spans="1:17" ht="14.25" customHeight="1" x14ac:dyDescent="0.3">
      <c r="A485" s="2" t="s">
        <v>533</v>
      </c>
      <c r="B485" s="2" t="s">
        <v>27</v>
      </c>
      <c r="C485" s="2" t="s">
        <v>46</v>
      </c>
      <c r="D485" s="2" t="s">
        <v>19</v>
      </c>
      <c r="E485" s="2" t="s">
        <v>52</v>
      </c>
      <c r="F485" s="2">
        <v>4</v>
      </c>
      <c r="G485" s="2" t="s">
        <v>21</v>
      </c>
      <c r="H485" t="str" cm="1">
        <f t="array" ref="H485:J485">_xlfn.XLOOKUP(C485,Products!A:A,Products!B:D)</f>
        <v>Ergonomic Chair</v>
      </c>
      <c r="I485" t="str">
        <v>Furniture</v>
      </c>
      <c r="J485">
        <v>249.99</v>
      </c>
      <c r="K485">
        <f t="shared" si="8"/>
        <v>999.96</v>
      </c>
      <c r="Q485" s="8"/>
    </row>
    <row r="486" spans="1:17" ht="14.25" customHeight="1" x14ac:dyDescent="0.3">
      <c r="A486" s="2" t="s">
        <v>534</v>
      </c>
      <c r="B486" s="2" t="s">
        <v>54</v>
      </c>
      <c r="C486" s="2" t="s">
        <v>30</v>
      </c>
      <c r="D486" s="2" t="s">
        <v>60</v>
      </c>
      <c r="E486" s="2" t="s">
        <v>47</v>
      </c>
      <c r="F486" s="2">
        <v>3</v>
      </c>
      <c r="G486" s="2" t="s">
        <v>61</v>
      </c>
      <c r="H486" t="str" cm="1">
        <f t="array" ref="H486:J486">_xlfn.XLOOKUP(C486,Products!A:A,Products!B:D)</f>
        <v>Wireless Headphones</v>
      </c>
      <c r="I486" t="str">
        <v>Accessories</v>
      </c>
      <c r="J486">
        <v>149.99</v>
      </c>
      <c r="K486">
        <f t="shared" si="8"/>
        <v>449.97</v>
      </c>
      <c r="Q486" s="8"/>
    </row>
    <row r="487" spans="1:17" ht="14.25" customHeight="1" x14ac:dyDescent="0.3">
      <c r="A487" s="2" t="s">
        <v>535</v>
      </c>
      <c r="B487" s="2" t="s">
        <v>58</v>
      </c>
      <c r="C487" s="2" t="s">
        <v>23</v>
      </c>
      <c r="D487" s="2" t="s">
        <v>37</v>
      </c>
      <c r="E487" s="2" t="s">
        <v>24</v>
      </c>
      <c r="F487" s="2">
        <v>3</v>
      </c>
      <c r="G487" s="2" t="s">
        <v>21</v>
      </c>
      <c r="H487" t="str" cm="1">
        <f t="array" ref="H487:J487">_xlfn.XLOOKUP(C487,Products!A:A,Products!B:D)</f>
        <v>4K Monitor</v>
      </c>
      <c r="I487" t="str">
        <v>Electronics</v>
      </c>
      <c r="J487">
        <v>349.99</v>
      </c>
      <c r="K487">
        <f t="shared" si="8"/>
        <v>1049.97</v>
      </c>
      <c r="Q487" s="8"/>
    </row>
    <row r="488" spans="1:17" ht="14.25" customHeight="1" x14ac:dyDescent="0.3">
      <c r="A488" s="2" t="s">
        <v>536</v>
      </c>
      <c r="B488" s="2" t="s">
        <v>54</v>
      </c>
      <c r="C488" s="2" t="s">
        <v>23</v>
      </c>
      <c r="D488" s="2" t="s">
        <v>29</v>
      </c>
      <c r="E488" s="2" t="s">
        <v>24</v>
      </c>
      <c r="F488" s="2">
        <v>2</v>
      </c>
      <c r="G488" s="2" t="s">
        <v>21</v>
      </c>
      <c r="H488" t="str" cm="1">
        <f t="array" ref="H488:J488">_xlfn.XLOOKUP(C488,Products!A:A,Products!B:D)</f>
        <v>4K Monitor</v>
      </c>
      <c r="I488" t="str">
        <v>Electronics</v>
      </c>
      <c r="J488">
        <v>349.99</v>
      </c>
      <c r="K488">
        <f t="shared" si="8"/>
        <v>699.98</v>
      </c>
      <c r="Q488" s="8"/>
    </row>
    <row r="489" spans="1:17" ht="14.25" customHeight="1" x14ac:dyDescent="0.3">
      <c r="A489" s="2" t="s">
        <v>537</v>
      </c>
      <c r="B489" s="2" t="s">
        <v>34</v>
      </c>
      <c r="C489" s="2" t="s">
        <v>35</v>
      </c>
      <c r="D489" s="2" t="s">
        <v>37</v>
      </c>
      <c r="E489" s="2" t="s">
        <v>20</v>
      </c>
      <c r="F489" s="2">
        <v>2</v>
      </c>
      <c r="G489" s="2" t="s">
        <v>61</v>
      </c>
      <c r="H489" t="str" cm="1">
        <f t="array" ref="H489:J489">_xlfn.XLOOKUP(C489,Products!A:A,Products!B:D)</f>
        <v>Mechanical Keyboard</v>
      </c>
      <c r="I489" t="str">
        <v>Accessories</v>
      </c>
      <c r="J489">
        <v>89.99</v>
      </c>
      <c r="K489">
        <f t="shared" si="8"/>
        <v>179.98</v>
      </c>
      <c r="Q489" s="8"/>
    </row>
    <row r="490" spans="1:17" ht="14.25" customHeight="1" x14ac:dyDescent="0.3">
      <c r="A490" s="2" t="s">
        <v>538</v>
      </c>
      <c r="B490" s="2" t="s">
        <v>17</v>
      </c>
      <c r="C490" s="2" t="s">
        <v>35</v>
      </c>
      <c r="D490" s="2" t="s">
        <v>19</v>
      </c>
      <c r="E490" s="2" t="s">
        <v>20</v>
      </c>
      <c r="F490" s="2">
        <v>4</v>
      </c>
      <c r="G490" s="2" t="s">
        <v>21</v>
      </c>
      <c r="H490" t="str" cm="1">
        <f t="array" ref="H490:J490">_xlfn.XLOOKUP(C490,Products!A:A,Products!B:D)</f>
        <v>Mechanical Keyboard</v>
      </c>
      <c r="I490" t="str">
        <v>Accessories</v>
      </c>
      <c r="J490">
        <v>89.99</v>
      </c>
      <c r="K490">
        <f t="shared" si="8"/>
        <v>359.96</v>
      </c>
      <c r="Q490" s="8"/>
    </row>
    <row r="491" spans="1:17" ht="14.25" customHeight="1" x14ac:dyDescent="0.3">
      <c r="A491" s="2" t="s">
        <v>539</v>
      </c>
      <c r="B491" s="2" t="s">
        <v>17</v>
      </c>
      <c r="C491" s="2" t="s">
        <v>38</v>
      </c>
      <c r="D491" s="2" t="s">
        <v>19</v>
      </c>
      <c r="E491" s="2" t="s">
        <v>47</v>
      </c>
      <c r="F491" s="2">
        <v>2</v>
      </c>
      <c r="G491" s="2" t="s">
        <v>21</v>
      </c>
      <c r="H491" t="str" cm="1">
        <f t="array" ref="H491:J491">_xlfn.XLOOKUP(C491,Products!A:A,Products!B:D)</f>
        <v>Gaming Mouse</v>
      </c>
      <c r="I491" t="str">
        <v>Accessories</v>
      </c>
      <c r="J491">
        <v>49.99</v>
      </c>
      <c r="K491">
        <f t="shared" si="8"/>
        <v>99.98</v>
      </c>
      <c r="Q491" s="8"/>
    </row>
    <row r="492" spans="1:17" ht="14.25" customHeight="1" x14ac:dyDescent="0.3">
      <c r="A492" s="2" t="s">
        <v>540</v>
      </c>
      <c r="B492" s="2" t="s">
        <v>54</v>
      </c>
      <c r="C492" s="2" t="s">
        <v>38</v>
      </c>
      <c r="D492" s="2" t="s">
        <v>60</v>
      </c>
      <c r="E492" s="2" t="s">
        <v>52</v>
      </c>
      <c r="F492" s="2">
        <v>2</v>
      </c>
      <c r="G492" s="2" t="s">
        <v>21</v>
      </c>
      <c r="H492" t="str" cm="1">
        <f t="array" ref="H492:J492">_xlfn.XLOOKUP(C492,Products!A:A,Products!B:D)</f>
        <v>Gaming Mouse</v>
      </c>
      <c r="I492" t="str">
        <v>Accessories</v>
      </c>
      <c r="J492">
        <v>49.99</v>
      </c>
      <c r="K492">
        <f t="shared" si="8"/>
        <v>99.98</v>
      </c>
      <c r="Q492" s="8"/>
    </row>
    <row r="493" spans="1:17" ht="14.25" customHeight="1" x14ac:dyDescent="0.3">
      <c r="A493" s="2" t="s">
        <v>541</v>
      </c>
      <c r="B493" s="2" t="s">
        <v>27</v>
      </c>
      <c r="C493" s="2" t="s">
        <v>35</v>
      </c>
      <c r="D493" s="2" t="s">
        <v>41</v>
      </c>
      <c r="E493" s="2" t="s">
        <v>24</v>
      </c>
      <c r="F493" s="2">
        <v>4</v>
      </c>
      <c r="G493" s="2" t="s">
        <v>21</v>
      </c>
      <c r="H493" t="str" cm="1">
        <f t="array" ref="H493:J493">_xlfn.XLOOKUP(C493,Products!A:A,Products!B:D)</f>
        <v>Mechanical Keyboard</v>
      </c>
      <c r="I493" t="str">
        <v>Accessories</v>
      </c>
      <c r="J493">
        <v>89.99</v>
      </c>
      <c r="K493">
        <f t="shared" si="8"/>
        <v>359.96</v>
      </c>
      <c r="Q493" s="8"/>
    </row>
    <row r="494" spans="1:17" ht="14.25" customHeight="1" x14ac:dyDescent="0.3">
      <c r="A494" s="2" t="s">
        <v>542</v>
      </c>
      <c r="B494" s="2" t="s">
        <v>34</v>
      </c>
      <c r="C494" s="2" t="s">
        <v>18</v>
      </c>
      <c r="D494" s="2" t="s">
        <v>37</v>
      </c>
      <c r="E494" s="2" t="s">
        <v>47</v>
      </c>
      <c r="F494" s="2">
        <v>4</v>
      </c>
      <c r="G494" s="2" t="s">
        <v>61</v>
      </c>
      <c r="H494" t="str" cm="1">
        <f t="array" ref="H494:J494">_xlfn.XLOOKUP(C494,Products!A:A,Products!B:D)</f>
        <v>Tablet Air</v>
      </c>
      <c r="I494" t="str">
        <v>Electronics</v>
      </c>
      <c r="J494">
        <v>499.99</v>
      </c>
      <c r="K494">
        <f t="shared" si="8"/>
        <v>1999.96</v>
      </c>
      <c r="Q494" s="8"/>
    </row>
    <row r="495" spans="1:17" ht="14.25" customHeight="1" x14ac:dyDescent="0.3">
      <c r="A495" s="2" t="s">
        <v>543</v>
      </c>
      <c r="B495" s="2" t="s">
        <v>27</v>
      </c>
      <c r="C495" s="2" t="s">
        <v>46</v>
      </c>
      <c r="D495" s="2" t="s">
        <v>19</v>
      </c>
      <c r="E495" s="2" t="s">
        <v>24</v>
      </c>
      <c r="F495" s="2">
        <v>3</v>
      </c>
      <c r="G495" s="2" t="s">
        <v>21</v>
      </c>
      <c r="H495" t="str" cm="1">
        <f t="array" ref="H495:J495">_xlfn.XLOOKUP(C495,Products!A:A,Products!B:D)</f>
        <v>Ergonomic Chair</v>
      </c>
      <c r="I495" t="str">
        <v>Furniture</v>
      </c>
      <c r="J495">
        <v>249.99</v>
      </c>
      <c r="K495">
        <f t="shared" si="8"/>
        <v>749.97</v>
      </c>
      <c r="Q495" s="8"/>
    </row>
    <row r="496" spans="1:17" ht="14.25" customHeight="1" x14ac:dyDescent="0.3">
      <c r="A496" s="2" t="s">
        <v>544</v>
      </c>
      <c r="B496" s="2" t="s">
        <v>56</v>
      </c>
      <c r="C496" s="2" t="s">
        <v>30</v>
      </c>
      <c r="D496" s="2" t="s">
        <v>29</v>
      </c>
      <c r="E496" s="2" t="s">
        <v>20</v>
      </c>
      <c r="F496" s="2">
        <v>2</v>
      </c>
      <c r="G496" s="2" t="s">
        <v>25</v>
      </c>
      <c r="H496" t="str" cm="1">
        <f t="array" ref="H496:J496">_xlfn.XLOOKUP(C496,Products!A:A,Products!B:D)</f>
        <v>Wireless Headphones</v>
      </c>
      <c r="I496" t="str">
        <v>Accessories</v>
      </c>
      <c r="J496">
        <v>149.99</v>
      </c>
      <c r="K496">
        <f t="shared" si="8"/>
        <v>0</v>
      </c>
      <c r="Q496" s="8"/>
    </row>
    <row r="497" spans="1:17" ht="14.25" customHeight="1" x14ac:dyDescent="0.3">
      <c r="A497" s="2" t="s">
        <v>545</v>
      </c>
      <c r="B497" s="2" t="s">
        <v>17</v>
      </c>
      <c r="C497" s="2" t="s">
        <v>46</v>
      </c>
      <c r="D497" s="2" t="s">
        <v>41</v>
      </c>
      <c r="E497" s="2" t="s">
        <v>20</v>
      </c>
      <c r="F497" s="2">
        <v>2</v>
      </c>
      <c r="G497" s="2" t="s">
        <v>61</v>
      </c>
      <c r="H497" t="str" cm="1">
        <f t="array" ref="H497:J497">_xlfn.XLOOKUP(C497,Products!A:A,Products!B:D)</f>
        <v>Ergonomic Chair</v>
      </c>
      <c r="I497" t="str">
        <v>Furniture</v>
      </c>
      <c r="J497">
        <v>249.99</v>
      </c>
      <c r="K497">
        <f t="shared" si="8"/>
        <v>499.98</v>
      </c>
      <c r="Q497" s="8"/>
    </row>
    <row r="498" spans="1:17" ht="14.25" customHeight="1" x14ac:dyDescent="0.3">
      <c r="A498" s="2" t="s">
        <v>546</v>
      </c>
      <c r="B498" s="2" t="s">
        <v>27</v>
      </c>
      <c r="C498" s="2" t="s">
        <v>38</v>
      </c>
      <c r="D498" s="2" t="s">
        <v>29</v>
      </c>
      <c r="E498" s="2" t="s">
        <v>47</v>
      </c>
      <c r="F498" s="2">
        <v>5</v>
      </c>
      <c r="G498" s="2" t="s">
        <v>21</v>
      </c>
      <c r="H498" t="str" cm="1">
        <f t="array" ref="H498:J498">_xlfn.XLOOKUP(C498,Products!A:A,Products!B:D)</f>
        <v>Gaming Mouse</v>
      </c>
      <c r="I498" t="str">
        <v>Accessories</v>
      </c>
      <c r="J498">
        <v>49.99</v>
      </c>
      <c r="K498">
        <f t="shared" si="8"/>
        <v>249.95000000000002</v>
      </c>
      <c r="Q498" s="8"/>
    </row>
    <row r="499" spans="1:17" ht="14.25" customHeight="1" x14ac:dyDescent="0.3">
      <c r="A499" s="2" t="s">
        <v>547</v>
      </c>
      <c r="B499" s="2" t="s">
        <v>17</v>
      </c>
      <c r="C499" s="2" t="s">
        <v>38</v>
      </c>
      <c r="D499" s="2" t="s">
        <v>60</v>
      </c>
      <c r="E499" s="2" t="s">
        <v>47</v>
      </c>
      <c r="F499" s="2">
        <v>5</v>
      </c>
      <c r="G499" s="2" t="s">
        <v>21</v>
      </c>
      <c r="H499" t="str" cm="1">
        <f t="array" ref="H499:J499">_xlfn.XLOOKUP(C499,Products!A:A,Products!B:D)</f>
        <v>Gaming Mouse</v>
      </c>
      <c r="I499" t="str">
        <v>Accessories</v>
      </c>
      <c r="J499">
        <v>49.99</v>
      </c>
      <c r="K499">
        <f t="shared" si="8"/>
        <v>249.95000000000002</v>
      </c>
      <c r="Q499" s="8"/>
    </row>
    <row r="500" spans="1:17" ht="14.25" customHeight="1" x14ac:dyDescent="0.3">
      <c r="A500" s="2" t="s">
        <v>548</v>
      </c>
      <c r="B500" s="2" t="s">
        <v>34</v>
      </c>
      <c r="C500" s="2" t="s">
        <v>46</v>
      </c>
      <c r="D500" s="2" t="s">
        <v>37</v>
      </c>
      <c r="E500" s="2" t="s">
        <v>20</v>
      </c>
      <c r="F500" s="2">
        <v>3</v>
      </c>
      <c r="G500" s="2" t="s">
        <v>21</v>
      </c>
      <c r="H500" t="str" cm="1">
        <f t="array" ref="H500:J500">_xlfn.XLOOKUP(C500,Products!A:A,Products!B:D)</f>
        <v>Ergonomic Chair</v>
      </c>
      <c r="I500" t="str">
        <v>Furniture</v>
      </c>
      <c r="J500">
        <v>249.99</v>
      </c>
      <c r="K500">
        <f t="shared" si="8"/>
        <v>749.97</v>
      </c>
      <c r="Q500" s="8"/>
    </row>
    <row r="501" spans="1:17" ht="14.25" customHeight="1" x14ac:dyDescent="0.3">
      <c r="A501" s="2" t="s">
        <v>549</v>
      </c>
      <c r="B501" s="2" t="s">
        <v>54</v>
      </c>
      <c r="C501" s="2" t="s">
        <v>30</v>
      </c>
      <c r="D501" s="2" t="s">
        <v>41</v>
      </c>
      <c r="E501" s="2" t="s">
        <v>24</v>
      </c>
      <c r="F501" s="2">
        <v>4</v>
      </c>
      <c r="G501" s="2" t="s">
        <v>21</v>
      </c>
      <c r="H501" t="str" cm="1">
        <f t="array" ref="H501:J501">_xlfn.XLOOKUP(C501,Products!A:A,Products!B:D)</f>
        <v>Wireless Headphones</v>
      </c>
      <c r="I501" t="str">
        <v>Accessories</v>
      </c>
      <c r="J501">
        <v>149.99</v>
      </c>
      <c r="K501">
        <f t="shared" si="8"/>
        <v>599.96</v>
      </c>
      <c r="Q501" s="8"/>
    </row>
    <row r="502" spans="1:17" ht="14.25" customHeight="1" x14ac:dyDescent="0.3">
      <c r="A502" s="2" t="s">
        <v>550</v>
      </c>
      <c r="B502" s="2" t="s">
        <v>56</v>
      </c>
      <c r="C502" s="2" t="s">
        <v>35</v>
      </c>
      <c r="D502" s="2" t="s">
        <v>29</v>
      </c>
      <c r="E502" s="2" t="s">
        <v>52</v>
      </c>
      <c r="F502" s="2">
        <v>3</v>
      </c>
      <c r="G502" s="2" t="s">
        <v>21</v>
      </c>
      <c r="H502" t="str" cm="1">
        <f t="array" ref="H502:J502">_xlfn.XLOOKUP(C502,Products!A:A,Products!B:D)</f>
        <v>Mechanical Keyboard</v>
      </c>
      <c r="I502" t="str">
        <v>Accessories</v>
      </c>
      <c r="J502">
        <v>89.99</v>
      </c>
      <c r="K502">
        <f t="shared" si="8"/>
        <v>269.96999999999997</v>
      </c>
      <c r="Q502" s="8"/>
    </row>
    <row r="503" spans="1:17" ht="14.25" customHeight="1" x14ac:dyDescent="0.3">
      <c r="A503" s="2" t="s">
        <v>551</v>
      </c>
      <c r="B503" s="2" t="s">
        <v>34</v>
      </c>
      <c r="C503" s="2" t="s">
        <v>38</v>
      </c>
      <c r="D503" s="2" t="s">
        <v>41</v>
      </c>
      <c r="E503" s="2" t="s">
        <v>47</v>
      </c>
      <c r="F503" s="2">
        <v>2</v>
      </c>
      <c r="G503" s="2" t="s">
        <v>21</v>
      </c>
      <c r="H503" t="str" cm="1">
        <f t="array" ref="H503:J503">_xlfn.XLOOKUP(C503,Products!A:A,Products!B:D)</f>
        <v>Gaming Mouse</v>
      </c>
      <c r="I503" t="str">
        <v>Accessories</v>
      </c>
      <c r="J503">
        <v>49.99</v>
      </c>
      <c r="K503">
        <f t="shared" si="8"/>
        <v>99.98</v>
      </c>
      <c r="Q503" s="8"/>
    </row>
    <row r="504" spans="1:17" ht="14.25" customHeight="1" x14ac:dyDescent="0.3">
      <c r="A504" s="2" t="s">
        <v>552</v>
      </c>
      <c r="B504" s="2" t="s">
        <v>27</v>
      </c>
      <c r="C504" s="2" t="s">
        <v>7</v>
      </c>
      <c r="D504" s="2" t="s">
        <v>29</v>
      </c>
      <c r="E504" s="2" t="s">
        <v>47</v>
      </c>
      <c r="F504" s="2">
        <v>1</v>
      </c>
      <c r="G504" s="2" t="s">
        <v>25</v>
      </c>
      <c r="H504" t="str" cm="1">
        <f t="array" ref="H504:J504">_xlfn.XLOOKUP(C504,Products!A:A,Products!B:D)</f>
        <v>Smartphone X</v>
      </c>
      <c r="I504" t="str">
        <v>Electronics</v>
      </c>
      <c r="J504">
        <v>999.99</v>
      </c>
      <c r="K504">
        <f t="shared" si="8"/>
        <v>0</v>
      </c>
      <c r="Q504" s="8"/>
    </row>
    <row r="505" spans="1:17" ht="14.25" customHeight="1" x14ac:dyDescent="0.3">
      <c r="A505" s="2" t="s">
        <v>553</v>
      </c>
      <c r="B505" s="2" t="s">
        <v>27</v>
      </c>
      <c r="C505" s="2" t="s">
        <v>46</v>
      </c>
      <c r="D505" s="2" t="s">
        <v>37</v>
      </c>
      <c r="E505" s="2" t="s">
        <v>52</v>
      </c>
      <c r="F505" s="2">
        <v>1</v>
      </c>
      <c r="G505" s="2" t="s">
        <v>21</v>
      </c>
      <c r="H505" t="str" cm="1">
        <f t="array" ref="H505:J505">_xlfn.XLOOKUP(C505,Products!A:A,Products!B:D)</f>
        <v>Ergonomic Chair</v>
      </c>
      <c r="I505" t="str">
        <v>Furniture</v>
      </c>
      <c r="J505">
        <v>249.99</v>
      </c>
      <c r="K505">
        <f t="shared" si="8"/>
        <v>249.99</v>
      </c>
      <c r="Q505" s="8"/>
    </row>
    <row r="506" spans="1:17" ht="14.25" customHeight="1" x14ac:dyDescent="0.3">
      <c r="A506" s="2" t="s">
        <v>554</v>
      </c>
      <c r="B506" s="2" t="s">
        <v>58</v>
      </c>
      <c r="C506" s="2" t="s">
        <v>38</v>
      </c>
      <c r="D506" s="2" t="s">
        <v>29</v>
      </c>
      <c r="E506" s="2" t="s">
        <v>52</v>
      </c>
      <c r="F506" s="2">
        <v>3</v>
      </c>
      <c r="G506" s="2" t="s">
        <v>25</v>
      </c>
      <c r="H506" t="str" cm="1">
        <f t="array" ref="H506:J506">_xlfn.XLOOKUP(C506,Products!A:A,Products!B:D)</f>
        <v>Gaming Mouse</v>
      </c>
      <c r="I506" t="str">
        <v>Accessories</v>
      </c>
      <c r="J506">
        <v>49.99</v>
      </c>
      <c r="K506">
        <f t="shared" si="8"/>
        <v>0</v>
      </c>
      <c r="Q506" s="8"/>
    </row>
    <row r="507" spans="1:17" ht="14.25" customHeight="1" x14ac:dyDescent="0.3">
      <c r="A507" s="2" t="s">
        <v>555</v>
      </c>
      <c r="B507" s="2" t="s">
        <v>34</v>
      </c>
      <c r="C507" s="2" t="s">
        <v>7</v>
      </c>
      <c r="D507" s="2" t="s">
        <v>19</v>
      </c>
      <c r="E507" s="2" t="s">
        <v>52</v>
      </c>
      <c r="F507" s="2">
        <v>1</v>
      </c>
      <c r="G507" s="2" t="s">
        <v>25</v>
      </c>
      <c r="H507" t="str" cm="1">
        <f t="array" ref="H507:J507">_xlfn.XLOOKUP(C507,Products!A:A,Products!B:D)</f>
        <v>Smartphone X</v>
      </c>
      <c r="I507" t="str">
        <v>Electronics</v>
      </c>
      <c r="J507">
        <v>999.99</v>
      </c>
      <c r="K507">
        <f t="shared" si="8"/>
        <v>0</v>
      </c>
      <c r="Q507" s="8"/>
    </row>
    <row r="508" spans="1:17" ht="14.25" customHeight="1" x14ac:dyDescent="0.3">
      <c r="A508" s="2" t="s">
        <v>556</v>
      </c>
      <c r="B508" s="2" t="s">
        <v>17</v>
      </c>
      <c r="C508" s="2" t="s">
        <v>23</v>
      </c>
      <c r="D508" s="2" t="s">
        <v>41</v>
      </c>
      <c r="E508" s="2" t="s">
        <v>20</v>
      </c>
      <c r="F508" s="2">
        <v>3</v>
      </c>
      <c r="G508" s="2" t="s">
        <v>25</v>
      </c>
      <c r="H508" t="str" cm="1">
        <f t="array" ref="H508:J508">_xlfn.XLOOKUP(C508,Products!A:A,Products!B:D)</f>
        <v>4K Monitor</v>
      </c>
      <c r="I508" t="str">
        <v>Electronics</v>
      </c>
      <c r="J508">
        <v>349.99</v>
      </c>
      <c r="K508">
        <f t="shared" si="8"/>
        <v>0</v>
      </c>
      <c r="Q508" s="8"/>
    </row>
    <row r="509" spans="1:17" ht="14.25" customHeight="1" x14ac:dyDescent="0.3">
      <c r="A509" s="2" t="s">
        <v>557</v>
      </c>
      <c r="B509" s="2" t="s">
        <v>27</v>
      </c>
      <c r="C509" s="2" t="s">
        <v>7</v>
      </c>
      <c r="D509" s="2" t="s">
        <v>19</v>
      </c>
      <c r="E509" s="2" t="s">
        <v>24</v>
      </c>
      <c r="F509" s="2">
        <v>1</v>
      </c>
      <c r="G509" s="2" t="s">
        <v>25</v>
      </c>
      <c r="H509" t="str" cm="1">
        <f t="array" ref="H509:J509">_xlfn.XLOOKUP(C509,Products!A:A,Products!B:D)</f>
        <v>Smartphone X</v>
      </c>
      <c r="I509" t="str">
        <v>Electronics</v>
      </c>
      <c r="J509">
        <v>999.99</v>
      </c>
      <c r="K509">
        <f t="shared" si="8"/>
        <v>0</v>
      </c>
      <c r="Q509" s="8"/>
    </row>
    <row r="510" spans="1:17" ht="14.25" customHeight="1" x14ac:dyDescent="0.3">
      <c r="A510" s="2" t="s">
        <v>558</v>
      </c>
      <c r="B510" s="2" t="s">
        <v>58</v>
      </c>
      <c r="C510" s="2" t="s">
        <v>43</v>
      </c>
      <c r="D510" s="2" t="s">
        <v>60</v>
      </c>
      <c r="E510" s="2" t="s">
        <v>52</v>
      </c>
      <c r="F510" s="2">
        <v>2</v>
      </c>
      <c r="G510" s="2" t="s">
        <v>21</v>
      </c>
      <c r="H510" t="str" cm="1">
        <f t="array" ref="H510:J510">_xlfn.XLOOKUP(C510,Products!A:A,Products!B:D)</f>
        <v>Bluetooth Speaker</v>
      </c>
      <c r="I510" t="str">
        <v>Accessories</v>
      </c>
      <c r="J510">
        <v>79.989999999999995</v>
      </c>
      <c r="K510">
        <f t="shared" si="8"/>
        <v>159.97999999999999</v>
      </c>
      <c r="Q510" s="8"/>
    </row>
    <row r="511" spans="1:17" ht="14.25" customHeight="1" x14ac:dyDescent="0.3">
      <c r="A511" s="2" t="s">
        <v>559</v>
      </c>
      <c r="B511" s="2" t="s">
        <v>54</v>
      </c>
      <c r="C511" s="2" t="s">
        <v>30</v>
      </c>
      <c r="D511" s="2" t="s">
        <v>19</v>
      </c>
      <c r="E511" s="2" t="s">
        <v>47</v>
      </c>
      <c r="F511" s="2">
        <v>5</v>
      </c>
      <c r="G511" s="2" t="s">
        <v>21</v>
      </c>
      <c r="H511" t="str" cm="1">
        <f t="array" ref="H511:J511">_xlfn.XLOOKUP(C511,Products!A:A,Products!B:D)</f>
        <v>Wireless Headphones</v>
      </c>
      <c r="I511" t="str">
        <v>Accessories</v>
      </c>
      <c r="J511">
        <v>149.99</v>
      </c>
      <c r="K511">
        <f t="shared" si="8"/>
        <v>749.95</v>
      </c>
      <c r="Q511" s="8"/>
    </row>
    <row r="512" spans="1:17" ht="14.25" customHeight="1" x14ac:dyDescent="0.3">
      <c r="A512" s="2" t="s">
        <v>560</v>
      </c>
      <c r="B512" s="2" t="s">
        <v>17</v>
      </c>
      <c r="C512" s="2" t="s">
        <v>38</v>
      </c>
      <c r="D512" s="2" t="s">
        <v>29</v>
      </c>
      <c r="E512" s="2" t="s">
        <v>24</v>
      </c>
      <c r="F512" s="2">
        <v>4</v>
      </c>
      <c r="G512" s="2" t="s">
        <v>61</v>
      </c>
      <c r="H512" t="str" cm="1">
        <f t="array" ref="H512:J512">_xlfn.XLOOKUP(C512,Products!A:A,Products!B:D)</f>
        <v>Gaming Mouse</v>
      </c>
      <c r="I512" t="str">
        <v>Accessories</v>
      </c>
      <c r="J512">
        <v>49.99</v>
      </c>
      <c r="K512">
        <f t="shared" si="8"/>
        <v>199.96</v>
      </c>
      <c r="Q512" s="8"/>
    </row>
    <row r="513" spans="1:17" ht="14.25" customHeight="1" x14ac:dyDescent="0.3">
      <c r="A513" s="2" t="s">
        <v>561</v>
      </c>
      <c r="B513" s="2" t="s">
        <v>34</v>
      </c>
      <c r="C513" s="2" t="s">
        <v>18</v>
      </c>
      <c r="D513" s="2" t="s">
        <v>29</v>
      </c>
      <c r="E513" s="2" t="s">
        <v>52</v>
      </c>
      <c r="F513" s="2">
        <v>1</v>
      </c>
      <c r="G513" s="2" t="s">
        <v>25</v>
      </c>
      <c r="H513" t="str" cm="1">
        <f t="array" ref="H513:J513">_xlfn.XLOOKUP(C513,Products!A:A,Products!B:D)</f>
        <v>Tablet Air</v>
      </c>
      <c r="I513" t="str">
        <v>Electronics</v>
      </c>
      <c r="J513">
        <v>499.99</v>
      </c>
      <c r="K513">
        <f t="shared" si="8"/>
        <v>0</v>
      </c>
      <c r="Q513" s="8"/>
    </row>
    <row r="514" spans="1:17" ht="14.25" customHeight="1" x14ac:dyDescent="0.3">
      <c r="A514" s="2" t="s">
        <v>562</v>
      </c>
      <c r="B514" s="2" t="s">
        <v>27</v>
      </c>
      <c r="C514" s="2" t="s">
        <v>30</v>
      </c>
      <c r="D514" s="2" t="s">
        <v>29</v>
      </c>
      <c r="E514" s="2" t="s">
        <v>47</v>
      </c>
      <c r="F514" s="2">
        <v>5</v>
      </c>
      <c r="G514" s="2" t="s">
        <v>21</v>
      </c>
      <c r="H514" t="str" cm="1">
        <f t="array" ref="H514:J514">_xlfn.XLOOKUP(C514,Products!A:A,Products!B:D)</f>
        <v>Wireless Headphones</v>
      </c>
      <c r="I514" t="str">
        <v>Accessories</v>
      </c>
      <c r="J514">
        <v>149.99</v>
      </c>
      <c r="K514">
        <f t="shared" si="8"/>
        <v>749.95</v>
      </c>
      <c r="Q514" s="8"/>
    </row>
    <row r="515" spans="1:17" ht="14.25" customHeight="1" x14ac:dyDescent="0.3">
      <c r="A515" s="2" t="s">
        <v>563</v>
      </c>
      <c r="B515" s="2" t="s">
        <v>27</v>
      </c>
      <c r="C515" s="2" t="s">
        <v>43</v>
      </c>
      <c r="D515" s="2" t="s">
        <v>60</v>
      </c>
      <c r="E515" s="2" t="s">
        <v>52</v>
      </c>
      <c r="F515" s="2">
        <v>2</v>
      </c>
      <c r="G515" s="2" t="s">
        <v>61</v>
      </c>
      <c r="H515" t="str" cm="1">
        <f t="array" ref="H515:J515">_xlfn.XLOOKUP(C515,Products!A:A,Products!B:D)</f>
        <v>Bluetooth Speaker</v>
      </c>
      <c r="I515" t="str">
        <v>Accessories</v>
      </c>
      <c r="J515">
        <v>79.989999999999995</v>
      </c>
      <c r="K515">
        <f t="shared" ref="K515:K578" si="9">IF(G515="Cancelled", 0, F515*J515)</f>
        <v>159.97999999999999</v>
      </c>
      <c r="Q515" s="8"/>
    </row>
    <row r="516" spans="1:17" ht="14.25" customHeight="1" x14ac:dyDescent="0.3">
      <c r="A516" s="2" t="s">
        <v>564</v>
      </c>
      <c r="B516" s="2" t="s">
        <v>27</v>
      </c>
      <c r="C516" s="2" t="s">
        <v>30</v>
      </c>
      <c r="D516" s="2" t="s">
        <v>60</v>
      </c>
      <c r="E516" s="2" t="s">
        <v>20</v>
      </c>
      <c r="F516" s="2">
        <v>2</v>
      </c>
      <c r="G516" s="2" t="s">
        <v>21</v>
      </c>
      <c r="H516" t="str" cm="1">
        <f t="array" ref="H516:J516">_xlfn.XLOOKUP(C516,Products!A:A,Products!B:D)</f>
        <v>Wireless Headphones</v>
      </c>
      <c r="I516" t="str">
        <v>Accessories</v>
      </c>
      <c r="J516">
        <v>149.99</v>
      </c>
      <c r="K516">
        <f t="shared" si="9"/>
        <v>299.98</v>
      </c>
      <c r="Q516" s="8"/>
    </row>
    <row r="517" spans="1:17" ht="14.25" customHeight="1" x14ac:dyDescent="0.3">
      <c r="A517" s="2" t="s">
        <v>565</v>
      </c>
      <c r="B517" s="2" t="s">
        <v>17</v>
      </c>
      <c r="C517" s="2" t="s">
        <v>23</v>
      </c>
      <c r="D517" s="2" t="s">
        <v>19</v>
      </c>
      <c r="E517" s="2" t="s">
        <v>20</v>
      </c>
      <c r="F517" s="2">
        <v>1</v>
      </c>
      <c r="G517" s="2" t="s">
        <v>25</v>
      </c>
      <c r="H517" t="str" cm="1">
        <f t="array" ref="H517:J517">_xlfn.XLOOKUP(C517,Products!A:A,Products!B:D)</f>
        <v>4K Monitor</v>
      </c>
      <c r="I517" t="str">
        <v>Electronics</v>
      </c>
      <c r="J517">
        <v>349.99</v>
      </c>
      <c r="K517">
        <f t="shared" si="9"/>
        <v>0</v>
      </c>
      <c r="Q517" s="8"/>
    </row>
    <row r="518" spans="1:17" ht="14.25" customHeight="1" x14ac:dyDescent="0.3">
      <c r="A518" s="2" t="s">
        <v>566</v>
      </c>
      <c r="B518" s="2" t="s">
        <v>58</v>
      </c>
      <c r="C518" s="2" t="s">
        <v>35</v>
      </c>
      <c r="D518" s="2" t="s">
        <v>41</v>
      </c>
      <c r="E518" s="2" t="s">
        <v>52</v>
      </c>
      <c r="F518" s="2">
        <v>1</v>
      </c>
      <c r="G518" s="2" t="s">
        <v>61</v>
      </c>
      <c r="H518" t="str" cm="1">
        <f t="array" ref="H518:J518">_xlfn.XLOOKUP(C518,Products!A:A,Products!B:D)</f>
        <v>Mechanical Keyboard</v>
      </c>
      <c r="I518" t="str">
        <v>Accessories</v>
      </c>
      <c r="J518">
        <v>89.99</v>
      </c>
      <c r="K518">
        <f t="shared" si="9"/>
        <v>89.99</v>
      </c>
      <c r="Q518" s="8"/>
    </row>
    <row r="519" spans="1:17" ht="14.25" customHeight="1" x14ac:dyDescent="0.3">
      <c r="A519" s="2" t="s">
        <v>567</v>
      </c>
      <c r="B519" s="2" t="s">
        <v>27</v>
      </c>
      <c r="C519" s="2" t="s">
        <v>30</v>
      </c>
      <c r="D519" s="2" t="s">
        <v>41</v>
      </c>
      <c r="E519" s="2" t="s">
        <v>47</v>
      </c>
      <c r="F519" s="2">
        <v>2</v>
      </c>
      <c r="G519" s="2" t="s">
        <v>21</v>
      </c>
      <c r="H519" t="str" cm="1">
        <f t="array" ref="H519:J519">_xlfn.XLOOKUP(C519,Products!A:A,Products!B:D)</f>
        <v>Wireless Headphones</v>
      </c>
      <c r="I519" t="str">
        <v>Accessories</v>
      </c>
      <c r="J519">
        <v>149.99</v>
      </c>
      <c r="K519">
        <f t="shared" si="9"/>
        <v>299.98</v>
      </c>
      <c r="Q519" s="8"/>
    </row>
    <row r="520" spans="1:17" ht="14.25" customHeight="1" x14ac:dyDescent="0.3">
      <c r="A520" s="2" t="s">
        <v>568</v>
      </c>
      <c r="B520" s="2" t="s">
        <v>27</v>
      </c>
      <c r="C520" s="2" t="s">
        <v>7</v>
      </c>
      <c r="D520" s="2" t="s">
        <v>60</v>
      </c>
      <c r="E520" s="2" t="s">
        <v>47</v>
      </c>
      <c r="F520" s="2">
        <v>2</v>
      </c>
      <c r="G520" s="2" t="s">
        <v>25</v>
      </c>
      <c r="H520" t="str" cm="1">
        <f t="array" ref="H520:J520">_xlfn.XLOOKUP(C520,Products!A:A,Products!B:D)</f>
        <v>Smartphone X</v>
      </c>
      <c r="I520" t="str">
        <v>Electronics</v>
      </c>
      <c r="J520">
        <v>999.99</v>
      </c>
      <c r="K520">
        <f t="shared" si="9"/>
        <v>0</v>
      </c>
      <c r="Q520" s="8"/>
    </row>
    <row r="521" spans="1:17" ht="14.25" customHeight="1" x14ac:dyDescent="0.3">
      <c r="A521" s="2" t="s">
        <v>569</v>
      </c>
      <c r="B521" s="2" t="s">
        <v>58</v>
      </c>
      <c r="C521" s="2" t="s">
        <v>18</v>
      </c>
      <c r="D521" s="2" t="s">
        <v>41</v>
      </c>
      <c r="E521" s="2" t="s">
        <v>20</v>
      </c>
      <c r="F521" s="2">
        <v>4</v>
      </c>
      <c r="G521" s="2" t="s">
        <v>21</v>
      </c>
      <c r="H521" t="str" cm="1">
        <f t="array" ref="H521:J521">_xlfn.XLOOKUP(C521,Products!A:A,Products!B:D)</f>
        <v>Tablet Air</v>
      </c>
      <c r="I521" t="str">
        <v>Electronics</v>
      </c>
      <c r="J521">
        <v>499.99</v>
      </c>
      <c r="K521">
        <f t="shared" si="9"/>
        <v>1999.96</v>
      </c>
      <c r="Q521" s="8"/>
    </row>
    <row r="522" spans="1:17" ht="14.25" customHeight="1" x14ac:dyDescent="0.3">
      <c r="A522" s="2" t="s">
        <v>570</v>
      </c>
      <c r="B522" s="2" t="s">
        <v>56</v>
      </c>
      <c r="C522" s="2" t="s">
        <v>46</v>
      </c>
      <c r="D522" s="2" t="s">
        <v>19</v>
      </c>
      <c r="E522" s="2" t="s">
        <v>20</v>
      </c>
      <c r="F522" s="2">
        <v>1</v>
      </c>
      <c r="G522" s="2" t="s">
        <v>21</v>
      </c>
      <c r="H522" t="str" cm="1">
        <f t="array" ref="H522:J522">_xlfn.XLOOKUP(C522,Products!A:A,Products!B:D)</f>
        <v>Ergonomic Chair</v>
      </c>
      <c r="I522" t="str">
        <v>Furniture</v>
      </c>
      <c r="J522">
        <v>249.99</v>
      </c>
      <c r="K522">
        <f t="shared" si="9"/>
        <v>249.99</v>
      </c>
      <c r="Q522" s="8"/>
    </row>
    <row r="523" spans="1:17" ht="14.25" customHeight="1" x14ac:dyDescent="0.3">
      <c r="A523" s="2" t="s">
        <v>571</v>
      </c>
      <c r="B523" s="2" t="s">
        <v>27</v>
      </c>
      <c r="C523" s="2" t="s">
        <v>18</v>
      </c>
      <c r="D523" s="2" t="s">
        <v>29</v>
      </c>
      <c r="E523" s="2" t="s">
        <v>47</v>
      </c>
      <c r="F523" s="2">
        <v>1</v>
      </c>
      <c r="G523" s="2" t="s">
        <v>21</v>
      </c>
      <c r="H523" t="str" cm="1">
        <f t="array" ref="H523:J523">_xlfn.XLOOKUP(C523,Products!A:A,Products!B:D)</f>
        <v>Tablet Air</v>
      </c>
      <c r="I523" t="str">
        <v>Electronics</v>
      </c>
      <c r="J523">
        <v>499.99</v>
      </c>
      <c r="K523">
        <f t="shared" si="9"/>
        <v>499.99</v>
      </c>
      <c r="Q523" s="8"/>
    </row>
    <row r="524" spans="1:17" ht="14.25" customHeight="1" x14ac:dyDescent="0.3">
      <c r="A524" s="2" t="s">
        <v>572</v>
      </c>
      <c r="B524" s="2" t="s">
        <v>58</v>
      </c>
      <c r="C524" s="2" t="s">
        <v>43</v>
      </c>
      <c r="D524" s="2" t="s">
        <v>60</v>
      </c>
      <c r="E524" s="2" t="s">
        <v>47</v>
      </c>
      <c r="F524" s="2">
        <v>4</v>
      </c>
      <c r="G524" s="2" t="s">
        <v>61</v>
      </c>
      <c r="H524" t="str" cm="1">
        <f t="array" ref="H524:J524">_xlfn.XLOOKUP(C524,Products!A:A,Products!B:D)</f>
        <v>Bluetooth Speaker</v>
      </c>
      <c r="I524" t="str">
        <v>Accessories</v>
      </c>
      <c r="J524">
        <v>79.989999999999995</v>
      </c>
      <c r="K524">
        <f t="shared" si="9"/>
        <v>319.95999999999998</v>
      </c>
      <c r="Q524" s="8"/>
    </row>
    <row r="525" spans="1:17" ht="14.25" customHeight="1" x14ac:dyDescent="0.3">
      <c r="A525" s="2" t="s">
        <v>573</v>
      </c>
      <c r="B525" s="2" t="s">
        <v>34</v>
      </c>
      <c r="C525" s="2" t="s">
        <v>38</v>
      </c>
      <c r="D525" s="2" t="s">
        <v>37</v>
      </c>
      <c r="E525" s="2" t="s">
        <v>20</v>
      </c>
      <c r="F525" s="2">
        <v>1</v>
      </c>
      <c r="G525" s="2" t="s">
        <v>25</v>
      </c>
      <c r="H525" t="str" cm="1">
        <f t="array" ref="H525:J525">_xlfn.XLOOKUP(C525,Products!A:A,Products!B:D)</f>
        <v>Gaming Mouse</v>
      </c>
      <c r="I525" t="str">
        <v>Accessories</v>
      </c>
      <c r="J525">
        <v>49.99</v>
      </c>
      <c r="K525">
        <f t="shared" si="9"/>
        <v>0</v>
      </c>
      <c r="Q525" s="8"/>
    </row>
    <row r="526" spans="1:17" ht="14.25" customHeight="1" x14ac:dyDescent="0.3">
      <c r="A526" s="2" t="s">
        <v>574</v>
      </c>
      <c r="B526" s="2" t="s">
        <v>58</v>
      </c>
      <c r="C526" s="2" t="s">
        <v>43</v>
      </c>
      <c r="D526" s="2" t="s">
        <v>19</v>
      </c>
      <c r="E526" s="2" t="s">
        <v>24</v>
      </c>
      <c r="F526" s="2">
        <v>3</v>
      </c>
      <c r="G526" s="2" t="s">
        <v>21</v>
      </c>
      <c r="H526" t="str" cm="1">
        <f t="array" ref="H526:J526">_xlfn.XLOOKUP(C526,Products!A:A,Products!B:D)</f>
        <v>Bluetooth Speaker</v>
      </c>
      <c r="I526" t="str">
        <v>Accessories</v>
      </c>
      <c r="J526">
        <v>79.989999999999995</v>
      </c>
      <c r="K526">
        <f t="shared" si="9"/>
        <v>239.96999999999997</v>
      </c>
      <c r="Q526" s="8"/>
    </row>
    <row r="527" spans="1:17" ht="14.25" customHeight="1" x14ac:dyDescent="0.3">
      <c r="A527" s="2" t="s">
        <v>575</v>
      </c>
      <c r="B527" s="2" t="s">
        <v>34</v>
      </c>
      <c r="C527" s="2" t="s">
        <v>46</v>
      </c>
      <c r="D527" s="2" t="s">
        <v>29</v>
      </c>
      <c r="E527" s="2" t="s">
        <v>20</v>
      </c>
      <c r="F527" s="2">
        <v>5</v>
      </c>
      <c r="G527" s="2" t="s">
        <v>61</v>
      </c>
      <c r="H527" t="str" cm="1">
        <f t="array" ref="H527:J527">_xlfn.XLOOKUP(C527,Products!A:A,Products!B:D)</f>
        <v>Ergonomic Chair</v>
      </c>
      <c r="I527" t="str">
        <v>Furniture</v>
      </c>
      <c r="J527">
        <v>249.99</v>
      </c>
      <c r="K527">
        <f t="shared" si="9"/>
        <v>1249.95</v>
      </c>
      <c r="Q527" s="8"/>
    </row>
    <row r="528" spans="1:17" ht="14.25" customHeight="1" x14ac:dyDescent="0.3">
      <c r="A528" s="2" t="s">
        <v>576</v>
      </c>
      <c r="B528" s="2" t="s">
        <v>34</v>
      </c>
      <c r="C528" s="2" t="s">
        <v>7</v>
      </c>
      <c r="D528" s="2" t="s">
        <v>41</v>
      </c>
      <c r="E528" s="2" t="s">
        <v>52</v>
      </c>
      <c r="F528" s="2">
        <v>4</v>
      </c>
      <c r="G528" s="2" t="s">
        <v>21</v>
      </c>
      <c r="H528" t="str" cm="1">
        <f t="array" ref="H528:J528">_xlfn.XLOOKUP(C528,Products!A:A,Products!B:D)</f>
        <v>Smartphone X</v>
      </c>
      <c r="I528" t="str">
        <v>Electronics</v>
      </c>
      <c r="J528">
        <v>999.99</v>
      </c>
      <c r="K528">
        <f t="shared" si="9"/>
        <v>3999.96</v>
      </c>
      <c r="Q528" s="8"/>
    </row>
    <row r="529" spans="1:17" ht="14.25" customHeight="1" x14ac:dyDescent="0.3">
      <c r="A529" s="2" t="s">
        <v>577</v>
      </c>
      <c r="B529" s="2" t="s">
        <v>54</v>
      </c>
      <c r="C529" s="2" t="s">
        <v>18</v>
      </c>
      <c r="D529" s="2" t="s">
        <v>19</v>
      </c>
      <c r="E529" s="2" t="s">
        <v>52</v>
      </c>
      <c r="F529" s="2">
        <v>5</v>
      </c>
      <c r="G529" s="2" t="s">
        <v>21</v>
      </c>
      <c r="H529" t="str" cm="1">
        <f t="array" ref="H529:J529">_xlfn.XLOOKUP(C529,Products!A:A,Products!B:D)</f>
        <v>Tablet Air</v>
      </c>
      <c r="I529" t="str">
        <v>Electronics</v>
      </c>
      <c r="J529">
        <v>499.99</v>
      </c>
      <c r="K529">
        <f t="shared" si="9"/>
        <v>2499.9499999999998</v>
      </c>
      <c r="Q529" s="8"/>
    </row>
    <row r="530" spans="1:17" ht="14.25" customHeight="1" x14ac:dyDescent="0.3">
      <c r="A530" s="2" t="s">
        <v>578</v>
      </c>
      <c r="B530" s="2" t="s">
        <v>27</v>
      </c>
      <c r="C530" s="2" t="s">
        <v>46</v>
      </c>
      <c r="D530" s="2" t="s">
        <v>29</v>
      </c>
      <c r="E530" s="2" t="s">
        <v>52</v>
      </c>
      <c r="F530" s="2">
        <v>3</v>
      </c>
      <c r="G530" s="2" t="s">
        <v>21</v>
      </c>
      <c r="H530" t="str" cm="1">
        <f t="array" ref="H530:J530">_xlfn.XLOOKUP(C530,Products!A:A,Products!B:D)</f>
        <v>Ergonomic Chair</v>
      </c>
      <c r="I530" t="str">
        <v>Furniture</v>
      </c>
      <c r="J530">
        <v>249.99</v>
      </c>
      <c r="K530">
        <f t="shared" si="9"/>
        <v>749.97</v>
      </c>
      <c r="Q530" s="8"/>
    </row>
    <row r="531" spans="1:17" ht="14.25" customHeight="1" x14ac:dyDescent="0.3">
      <c r="A531" s="2" t="s">
        <v>579</v>
      </c>
      <c r="B531" s="2" t="s">
        <v>27</v>
      </c>
      <c r="C531" s="2" t="s">
        <v>23</v>
      </c>
      <c r="D531" s="2" t="s">
        <v>19</v>
      </c>
      <c r="E531" s="2" t="s">
        <v>52</v>
      </c>
      <c r="F531" s="2">
        <v>1</v>
      </c>
      <c r="G531" s="2" t="s">
        <v>21</v>
      </c>
      <c r="H531" t="str" cm="1">
        <f t="array" ref="H531:J531">_xlfn.XLOOKUP(C531,Products!A:A,Products!B:D)</f>
        <v>4K Monitor</v>
      </c>
      <c r="I531" t="str">
        <v>Electronics</v>
      </c>
      <c r="J531">
        <v>349.99</v>
      </c>
      <c r="K531">
        <f t="shared" si="9"/>
        <v>349.99</v>
      </c>
      <c r="Q531" s="8"/>
    </row>
    <row r="532" spans="1:17" ht="14.25" customHeight="1" x14ac:dyDescent="0.3">
      <c r="A532" s="2" t="s">
        <v>580</v>
      </c>
      <c r="B532" s="2" t="s">
        <v>34</v>
      </c>
      <c r="C532" s="2" t="s">
        <v>35</v>
      </c>
      <c r="D532" s="2" t="s">
        <v>41</v>
      </c>
      <c r="E532" s="2" t="s">
        <v>20</v>
      </c>
      <c r="F532" s="2">
        <v>2</v>
      </c>
      <c r="G532" s="2" t="s">
        <v>21</v>
      </c>
      <c r="H532" t="str" cm="1">
        <f t="array" ref="H532:J532">_xlfn.XLOOKUP(C532,Products!A:A,Products!B:D)</f>
        <v>Mechanical Keyboard</v>
      </c>
      <c r="I532" t="str">
        <v>Accessories</v>
      </c>
      <c r="J532">
        <v>89.99</v>
      </c>
      <c r="K532">
        <f t="shared" si="9"/>
        <v>179.98</v>
      </c>
      <c r="Q532" s="8"/>
    </row>
    <row r="533" spans="1:17" ht="14.25" customHeight="1" x14ac:dyDescent="0.3">
      <c r="A533" s="2" t="s">
        <v>581</v>
      </c>
      <c r="B533" s="2" t="s">
        <v>27</v>
      </c>
      <c r="C533" s="2" t="s">
        <v>23</v>
      </c>
      <c r="D533" s="2" t="s">
        <v>29</v>
      </c>
      <c r="E533" s="2" t="s">
        <v>20</v>
      </c>
      <c r="F533" s="2">
        <v>2</v>
      </c>
      <c r="G533" s="2" t="s">
        <v>21</v>
      </c>
      <c r="H533" t="str" cm="1">
        <f t="array" ref="H533:J533">_xlfn.XLOOKUP(C533,Products!A:A,Products!B:D)</f>
        <v>4K Monitor</v>
      </c>
      <c r="I533" t="str">
        <v>Electronics</v>
      </c>
      <c r="J533">
        <v>349.99</v>
      </c>
      <c r="K533">
        <f t="shared" si="9"/>
        <v>699.98</v>
      </c>
      <c r="Q533" s="8"/>
    </row>
    <row r="534" spans="1:17" ht="14.25" customHeight="1" x14ac:dyDescent="0.3">
      <c r="A534" s="2" t="s">
        <v>582</v>
      </c>
      <c r="B534" s="2" t="s">
        <v>58</v>
      </c>
      <c r="C534" s="2" t="s">
        <v>23</v>
      </c>
      <c r="D534" s="2" t="s">
        <v>60</v>
      </c>
      <c r="E534" s="2" t="s">
        <v>24</v>
      </c>
      <c r="F534" s="2">
        <v>4</v>
      </c>
      <c r="G534" s="2" t="s">
        <v>61</v>
      </c>
      <c r="H534" t="str" cm="1">
        <f t="array" ref="H534:J534">_xlfn.XLOOKUP(C534,Products!A:A,Products!B:D)</f>
        <v>4K Monitor</v>
      </c>
      <c r="I534" t="str">
        <v>Electronics</v>
      </c>
      <c r="J534">
        <v>349.99</v>
      </c>
      <c r="K534">
        <f t="shared" si="9"/>
        <v>1399.96</v>
      </c>
      <c r="Q534" s="8"/>
    </row>
    <row r="535" spans="1:17" ht="14.25" customHeight="1" x14ac:dyDescent="0.3">
      <c r="A535" s="2" t="s">
        <v>583</v>
      </c>
      <c r="B535" s="2" t="s">
        <v>58</v>
      </c>
      <c r="C535" s="2" t="s">
        <v>18</v>
      </c>
      <c r="D535" s="2" t="s">
        <v>29</v>
      </c>
      <c r="E535" s="2" t="s">
        <v>47</v>
      </c>
      <c r="F535" s="2">
        <v>3</v>
      </c>
      <c r="G535" s="2" t="s">
        <v>21</v>
      </c>
      <c r="H535" t="str" cm="1">
        <f t="array" ref="H535:J535">_xlfn.XLOOKUP(C535,Products!A:A,Products!B:D)</f>
        <v>Tablet Air</v>
      </c>
      <c r="I535" t="str">
        <v>Electronics</v>
      </c>
      <c r="J535">
        <v>499.99</v>
      </c>
      <c r="K535">
        <f t="shared" si="9"/>
        <v>1499.97</v>
      </c>
      <c r="Q535" s="8"/>
    </row>
    <row r="536" spans="1:17" ht="14.25" customHeight="1" x14ac:dyDescent="0.3">
      <c r="A536" s="2" t="s">
        <v>584</v>
      </c>
      <c r="B536" s="2" t="s">
        <v>17</v>
      </c>
      <c r="C536" s="2" t="s">
        <v>7</v>
      </c>
      <c r="D536" s="2" t="s">
        <v>41</v>
      </c>
      <c r="E536" s="2" t="s">
        <v>47</v>
      </c>
      <c r="F536" s="2">
        <v>1</v>
      </c>
      <c r="G536" s="2" t="s">
        <v>25</v>
      </c>
      <c r="H536" t="str" cm="1">
        <f t="array" ref="H536:J536">_xlfn.XLOOKUP(C536,Products!A:A,Products!B:D)</f>
        <v>Smartphone X</v>
      </c>
      <c r="I536" t="str">
        <v>Electronics</v>
      </c>
      <c r="J536">
        <v>999.99</v>
      </c>
      <c r="K536">
        <f t="shared" si="9"/>
        <v>0</v>
      </c>
      <c r="Q536" s="8"/>
    </row>
    <row r="537" spans="1:17" ht="14.25" customHeight="1" x14ac:dyDescent="0.3">
      <c r="A537" s="2" t="s">
        <v>585</v>
      </c>
      <c r="B537" s="2" t="s">
        <v>17</v>
      </c>
      <c r="C537" s="2" t="s">
        <v>18</v>
      </c>
      <c r="D537" s="2" t="s">
        <v>29</v>
      </c>
      <c r="E537" s="2" t="s">
        <v>52</v>
      </c>
      <c r="F537" s="2">
        <v>2</v>
      </c>
      <c r="G537" s="2" t="s">
        <v>21</v>
      </c>
      <c r="H537" t="str" cm="1">
        <f t="array" ref="H537:J537">_xlfn.XLOOKUP(C537,Products!A:A,Products!B:D)</f>
        <v>Tablet Air</v>
      </c>
      <c r="I537" t="str">
        <v>Electronics</v>
      </c>
      <c r="J537">
        <v>499.99</v>
      </c>
      <c r="K537">
        <f t="shared" si="9"/>
        <v>999.98</v>
      </c>
      <c r="Q537" s="8"/>
    </row>
    <row r="538" spans="1:17" ht="14.25" customHeight="1" x14ac:dyDescent="0.3">
      <c r="A538" s="2" t="s">
        <v>586</v>
      </c>
      <c r="B538" s="2" t="s">
        <v>34</v>
      </c>
      <c r="C538" s="2" t="s">
        <v>30</v>
      </c>
      <c r="D538" s="2" t="s">
        <v>37</v>
      </c>
      <c r="E538" s="2" t="s">
        <v>52</v>
      </c>
      <c r="F538" s="2">
        <v>1</v>
      </c>
      <c r="G538" s="2" t="s">
        <v>21</v>
      </c>
      <c r="H538" t="str" cm="1">
        <f t="array" ref="H538:J538">_xlfn.XLOOKUP(C538,Products!A:A,Products!B:D)</f>
        <v>Wireless Headphones</v>
      </c>
      <c r="I538" t="str">
        <v>Accessories</v>
      </c>
      <c r="J538">
        <v>149.99</v>
      </c>
      <c r="K538">
        <f t="shared" si="9"/>
        <v>149.99</v>
      </c>
      <c r="Q538" s="8"/>
    </row>
    <row r="539" spans="1:17" ht="14.25" customHeight="1" x14ac:dyDescent="0.3">
      <c r="A539" s="2" t="s">
        <v>587</v>
      </c>
      <c r="B539" s="2" t="s">
        <v>34</v>
      </c>
      <c r="C539" s="2" t="s">
        <v>35</v>
      </c>
      <c r="D539" s="2" t="s">
        <v>29</v>
      </c>
      <c r="E539" s="2" t="s">
        <v>24</v>
      </c>
      <c r="F539" s="2">
        <v>3</v>
      </c>
      <c r="G539" s="2" t="s">
        <v>25</v>
      </c>
      <c r="H539" t="str" cm="1">
        <f t="array" ref="H539:J539">_xlfn.XLOOKUP(C539,Products!A:A,Products!B:D)</f>
        <v>Mechanical Keyboard</v>
      </c>
      <c r="I539" t="str">
        <v>Accessories</v>
      </c>
      <c r="J539">
        <v>89.99</v>
      </c>
      <c r="K539">
        <f t="shared" si="9"/>
        <v>0</v>
      </c>
      <c r="Q539" s="8"/>
    </row>
    <row r="540" spans="1:17" ht="14.25" customHeight="1" x14ac:dyDescent="0.3">
      <c r="A540" s="2" t="s">
        <v>588</v>
      </c>
      <c r="B540" s="2" t="s">
        <v>54</v>
      </c>
      <c r="C540" s="2" t="s">
        <v>38</v>
      </c>
      <c r="D540" s="2" t="s">
        <v>19</v>
      </c>
      <c r="E540" s="2" t="s">
        <v>24</v>
      </c>
      <c r="F540" s="2">
        <v>2</v>
      </c>
      <c r="G540" s="2" t="s">
        <v>21</v>
      </c>
      <c r="H540" t="str" cm="1">
        <f t="array" ref="H540:J540">_xlfn.XLOOKUP(C540,Products!A:A,Products!B:D)</f>
        <v>Gaming Mouse</v>
      </c>
      <c r="I540" t="str">
        <v>Accessories</v>
      </c>
      <c r="J540">
        <v>49.99</v>
      </c>
      <c r="K540">
        <f t="shared" si="9"/>
        <v>99.98</v>
      </c>
      <c r="Q540" s="8"/>
    </row>
    <row r="541" spans="1:17" ht="14.25" customHeight="1" x14ac:dyDescent="0.3">
      <c r="A541" s="2" t="s">
        <v>589</v>
      </c>
      <c r="B541" s="2" t="s">
        <v>27</v>
      </c>
      <c r="C541" s="2" t="s">
        <v>35</v>
      </c>
      <c r="D541" s="2" t="s">
        <v>29</v>
      </c>
      <c r="E541" s="2" t="s">
        <v>24</v>
      </c>
      <c r="F541" s="2">
        <v>3</v>
      </c>
      <c r="G541" s="2" t="s">
        <v>25</v>
      </c>
      <c r="H541" t="str" cm="1">
        <f t="array" ref="H541:J541">_xlfn.XLOOKUP(C541,Products!A:A,Products!B:D)</f>
        <v>Mechanical Keyboard</v>
      </c>
      <c r="I541" t="str">
        <v>Accessories</v>
      </c>
      <c r="J541">
        <v>89.99</v>
      </c>
      <c r="K541">
        <f t="shared" si="9"/>
        <v>0</v>
      </c>
      <c r="Q541" s="8"/>
    </row>
    <row r="542" spans="1:17" ht="14.25" customHeight="1" x14ac:dyDescent="0.3">
      <c r="A542" s="2" t="s">
        <v>590</v>
      </c>
      <c r="B542" s="2" t="s">
        <v>56</v>
      </c>
      <c r="C542" s="2" t="s">
        <v>35</v>
      </c>
      <c r="D542" s="2" t="s">
        <v>60</v>
      </c>
      <c r="E542" s="2" t="s">
        <v>52</v>
      </c>
      <c r="F542" s="2">
        <v>4</v>
      </c>
      <c r="G542" s="2" t="s">
        <v>21</v>
      </c>
      <c r="H542" t="str" cm="1">
        <f t="array" ref="H542:J542">_xlfn.XLOOKUP(C542,Products!A:A,Products!B:D)</f>
        <v>Mechanical Keyboard</v>
      </c>
      <c r="I542" t="str">
        <v>Accessories</v>
      </c>
      <c r="J542">
        <v>89.99</v>
      </c>
      <c r="K542">
        <f t="shared" si="9"/>
        <v>359.96</v>
      </c>
      <c r="Q542" s="8"/>
    </row>
    <row r="543" spans="1:17" ht="14.25" customHeight="1" x14ac:dyDescent="0.3">
      <c r="A543" s="2" t="s">
        <v>591</v>
      </c>
      <c r="B543" s="2" t="s">
        <v>56</v>
      </c>
      <c r="C543" s="2" t="s">
        <v>46</v>
      </c>
      <c r="D543" s="2" t="s">
        <v>37</v>
      </c>
      <c r="E543" s="2" t="s">
        <v>47</v>
      </c>
      <c r="F543" s="2">
        <v>4</v>
      </c>
      <c r="G543" s="2" t="s">
        <v>21</v>
      </c>
      <c r="H543" t="str" cm="1">
        <f t="array" ref="H543:J543">_xlfn.XLOOKUP(C543,Products!A:A,Products!B:D)</f>
        <v>Ergonomic Chair</v>
      </c>
      <c r="I543" t="str">
        <v>Furniture</v>
      </c>
      <c r="J543">
        <v>249.99</v>
      </c>
      <c r="K543">
        <f t="shared" si="9"/>
        <v>999.96</v>
      </c>
      <c r="Q543" s="8"/>
    </row>
    <row r="544" spans="1:17" ht="14.25" customHeight="1" x14ac:dyDescent="0.3">
      <c r="A544" s="2" t="s">
        <v>592</v>
      </c>
      <c r="B544" s="2" t="s">
        <v>34</v>
      </c>
      <c r="C544" s="2" t="s">
        <v>7</v>
      </c>
      <c r="D544" s="2" t="s">
        <v>29</v>
      </c>
      <c r="E544" s="2" t="s">
        <v>20</v>
      </c>
      <c r="F544" s="2">
        <v>4</v>
      </c>
      <c r="G544" s="2" t="s">
        <v>21</v>
      </c>
      <c r="H544" t="str" cm="1">
        <f t="array" ref="H544:J544">_xlfn.XLOOKUP(C544,Products!A:A,Products!B:D)</f>
        <v>Smartphone X</v>
      </c>
      <c r="I544" t="str">
        <v>Electronics</v>
      </c>
      <c r="J544">
        <v>999.99</v>
      </c>
      <c r="K544">
        <f t="shared" si="9"/>
        <v>3999.96</v>
      </c>
      <c r="Q544" s="8"/>
    </row>
    <row r="545" spans="1:17" ht="14.25" customHeight="1" x14ac:dyDescent="0.3">
      <c r="A545" s="2" t="s">
        <v>593</v>
      </c>
      <c r="B545" s="2" t="s">
        <v>56</v>
      </c>
      <c r="C545" s="2" t="s">
        <v>38</v>
      </c>
      <c r="D545" s="2" t="s">
        <v>37</v>
      </c>
      <c r="E545" s="2" t="s">
        <v>47</v>
      </c>
      <c r="F545" s="2">
        <v>5</v>
      </c>
      <c r="G545" s="2" t="s">
        <v>21</v>
      </c>
      <c r="H545" t="str" cm="1">
        <f t="array" ref="H545:J545">_xlfn.XLOOKUP(C545,Products!A:A,Products!B:D)</f>
        <v>Gaming Mouse</v>
      </c>
      <c r="I545" t="str">
        <v>Accessories</v>
      </c>
      <c r="J545">
        <v>49.99</v>
      </c>
      <c r="K545">
        <f t="shared" si="9"/>
        <v>249.95000000000002</v>
      </c>
      <c r="Q545" s="8"/>
    </row>
    <row r="546" spans="1:17" ht="14.25" customHeight="1" x14ac:dyDescent="0.3">
      <c r="A546" s="2" t="s">
        <v>594</v>
      </c>
      <c r="B546" s="2" t="s">
        <v>17</v>
      </c>
      <c r="C546" s="2" t="s">
        <v>35</v>
      </c>
      <c r="D546" s="2" t="s">
        <v>29</v>
      </c>
      <c r="E546" s="2" t="s">
        <v>20</v>
      </c>
      <c r="F546" s="2">
        <v>5</v>
      </c>
      <c r="G546" s="2" t="s">
        <v>21</v>
      </c>
      <c r="H546" t="str" cm="1">
        <f t="array" ref="H546:J546">_xlfn.XLOOKUP(C546,Products!A:A,Products!B:D)</f>
        <v>Mechanical Keyboard</v>
      </c>
      <c r="I546" t="str">
        <v>Accessories</v>
      </c>
      <c r="J546">
        <v>89.99</v>
      </c>
      <c r="K546">
        <f t="shared" si="9"/>
        <v>449.95</v>
      </c>
      <c r="Q546" s="8"/>
    </row>
    <row r="547" spans="1:17" ht="14.25" customHeight="1" x14ac:dyDescent="0.3">
      <c r="A547" s="2" t="s">
        <v>595</v>
      </c>
      <c r="B547" s="2" t="s">
        <v>27</v>
      </c>
      <c r="C547" s="2" t="s">
        <v>43</v>
      </c>
      <c r="D547" s="2" t="s">
        <v>60</v>
      </c>
      <c r="E547" s="2" t="s">
        <v>24</v>
      </c>
      <c r="F547" s="2">
        <v>1</v>
      </c>
      <c r="G547" s="2" t="s">
        <v>21</v>
      </c>
      <c r="H547" t="str" cm="1">
        <f t="array" ref="H547:J547">_xlfn.XLOOKUP(C547,Products!A:A,Products!B:D)</f>
        <v>Bluetooth Speaker</v>
      </c>
      <c r="I547" t="str">
        <v>Accessories</v>
      </c>
      <c r="J547">
        <v>79.989999999999995</v>
      </c>
      <c r="K547">
        <f t="shared" si="9"/>
        <v>79.989999999999995</v>
      </c>
      <c r="Q547" s="8"/>
    </row>
    <row r="548" spans="1:17" ht="14.25" customHeight="1" x14ac:dyDescent="0.3">
      <c r="A548" s="2" t="s">
        <v>596</v>
      </c>
      <c r="B548" s="2" t="s">
        <v>54</v>
      </c>
      <c r="C548" s="2" t="s">
        <v>46</v>
      </c>
      <c r="D548" s="2" t="s">
        <v>29</v>
      </c>
      <c r="E548" s="2" t="s">
        <v>47</v>
      </c>
      <c r="F548" s="2">
        <v>4</v>
      </c>
      <c r="G548" s="2" t="s">
        <v>61</v>
      </c>
      <c r="H548" t="str" cm="1">
        <f t="array" ref="H548:J548">_xlfn.XLOOKUP(C548,Products!A:A,Products!B:D)</f>
        <v>Ergonomic Chair</v>
      </c>
      <c r="I548" t="str">
        <v>Furniture</v>
      </c>
      <c r="J548">
        <v>249.99</v>
      </c>
      <c r="K548">
        <f t="shared" si="9"/>
        <v>999.96</v>
      </c>
      <c r="Q548" s="8"/>
    </row>
    <row r="549" spans="1:17" ht="14.25" customHeight="1" x14ac:dyDescent="0.3">
      <c r="A549" s="2" t="s">
        <v>597</v>
      </c>
      <c r="B549" s="2" t="s">
        <v>58</v>
      </c>
      <c r="C549" s="2" t="s">
        <v>38</v>
      </c>
      <c r="D549" s="2" t="s">
        <v>29</v>
      </c>
      <c r="E549" s="2" t="s">
        <v>20</v>
      </c>
      <c r="F549" s="2">
        <v>4</v>
      </c>
      <c r="G549" s="2" t="s">
        <v>61</v>
      </c>
      <c r="H549" t="str" cm="1">
        <f t="array" ref="H549:J549">_xlfn.XLOOKUP(C549,Products!A:A,Products!B:D)</f>
        <v>Gaming Mouse</v>
      </c>
      <c r="I549" t="str">
        <v>Accessories</v>
      </c>
      <c r="J549">
        <v>49.99</v>
      </c>
      <c r="K549">
        <f t="shared" si="9"/>
        <v>199.96</v>
      </c>
      <c r="Q549" s="8"/>
    </row>
    <row r="550" spans="1:17" ht="14.25" customHeight="1" x14ac:dyDescent="0.3">
      <c r="A550" s="2" t="s">
        <v>598</v>
      </c>
      <c r="B550" s="2" t="s">
        <v>54</v>
      </c>
      <c r="C550" s="2" t="s">
        <v>7</v>
      </c>
      <c r="D550" s="2" t="s">
        <v>37</v>
      </c>
      <c r="E550" s="2" t="s">
        <v>47</v>
      </c>
      <c r="F550" s="2">
        <v>5</v>
      </c>
      <c r="G550" s="2" t="s">
        <v>21</v>
      </c>
      <c r="H550" t="str" cm="1">
        <f t="array" ref="H550:J550">_xlfn.XLOOKUP(C550,Products!A:A,Products!B:D)</f>
        <v>Smartphone X</v>
      </c>
      <c r="I550" t="str">
        <v>Electronics</v>
      </c>
      <c r="J550">
        <v>999.99</v>
      </c>
      <c r="K550">
        <f t="shared" si="9"/>
        <v>4999.95</v>
      </c>
      <c r="Q550" s="8"/>
    </row>
    <row r="551" spans="1:17" ht="14.25" customHeight="1" x14ac:dyDescent="0.3">
      <c r="A551" s="2" t="s">
        <v>599</v>
      </c>
      <c r="B551" s="2" t="s">
        <v>54</v>
      </c>
      <c r="C551" s="2" t="s">
        <v>30</v>
      </c>
      <c r="D551" s="2" t="s">
        <v>29</v>
      </c>
      <c r="E551" s="2" t="s">
        <v>47</v>
      </c>
      <c r="F551" s="2">
        <v>2</v>
      </c>
      <c r="G551" s="2" t="s">
        <v>21</v>
      </c>
      <c r="H551" t="str" cm="1">
        <f t="array" ref="H551:J551">_xlfn.XLOOKUP(C551,Products!A:A,Products!B:D)</f>
        <v>Wireless Headphones</v>
      </c>
      <c r="I551" t="str">
        <v>Accessories</v>
      </c>
      <c r="J551">
        <v>149.99</v>
      </c>
      <c r="K551">
        <f t="shared" si="9"/>
        <v>299.98</v>
      </c>
      <c r="Q551" s="8"/>
    </row>
    <row r="552" spans="1:17" ht="14.25" customHeight="1" x14ac:dyDescent="0.3">
      <c r="A552" s="2" t="s">
        <v>600</v>
      </c>
      <c r="B552" s="2" t="s">
        <v>17</v>
      </c>
      <c r="C552" s="2" t="s">
        <v>35</v>
      </c>
      <c r="D552" s="2" t="s">
        <v>37</v>
      </c>
      <c r="E552" s="2" t="s">
        <v>20</v>
      </c>
      <c r="F552" s="2">
        <v>4</v>
      </c>
      <c r="G552" s="2" t="s">
        <v>25</v>
      </c>
      <c r="H552" t="str" cm="1">
        <f t="array" ref="H552:J552">_xlfn.XLOOKUP(C552,Products!A:A,Products!B:D)</f>
        <v>Mechanical Keyboard</v>
      </c>
      <c r="I552" t="str">
        <v>Accessories</v>
      </c>
      <c r="J552">
        <v>89.99</v>
      </c>
      <c r="K552">
        <f t="shared" si="9"/>
        <v>0</v>
      </c>
      <c r="Q552" s="8"/>
    </row>
    <row r="553" spans="1:17" ht="14.25" customHeight="1" x14ac:dyDescent="0.3">
      <c r="A553" s="2" t="s">
        <v>601</v>
      </c>
      <c r="B553" s="2" t="s">
        <v>54</v>
      </c>
      <c r="C553" s="2" t="s">
        <v>18</v>
      </c>
      <c r="D553" s="2" t="s">
        <v>41</v>
      </c>
      <c r="E553" s="2" t="s">
        <v>24</v>
      </c>
      <c r="F553" s="2">
        <v>4</v>
      </c>
      <c r="G553" s="2" t="s">
        <v>25</v>
      </c>
      <c r="H553" t="str" cm="1">
        <f t="array" ref="H553:J553">_xlfn.XLOOKUP(C553,Products!A:A,Products!B:D)</f>
        <v>Tablet Air</v>
      </c>
      <c r="I553" t="str">
        <v>Electronics</v>
      </c>
      <c r="J553">
        <v>499.99</v>
      </c>
      <c r="K553">
        <f t="shared" si="9"/>
        <v>0</v>
      </c>
      <c r="Q553" s="8"/>
    </row>
    <row r="554" spans="1:17" ht="14.25" customHeight="1" x14ac:dyDescent="0.3">
      <c r="A554" s="2" t="s">
        <v>602</v>
      </c>
      <c r="B554" s="2" t="s">
        <v>56</v>
      </c>
      <c r="C554" s="2" t="s">
        <v>18</v>
      </c>
      <c r="D554" s="2" t="s">
        <v>41</v>
      </c>
      <c r="E554" s="2" t="s">
        <v>20</v>
      </c>
      <c r="F554" s="2">
        <v>2</v>
      </c>
      <c r="G554" s="2" t="s">
        <v>21</v>
      </c>
      <c r="H554" t="str" cm="1">
        <f t="array" ref="H554:J554">_xlfn.XLOOKUP(C554,Products!A:A,Products!B:D)</f>
        <v>Tablet Air</v>
      </c>
      <c r="I554" t="str">
        <v>Electronics</v>
      </c>
      <c r="J554">
        <v>499.99</v>
      </c>
      <c r="K554">
        <f t="shared" si="9"/>
        <v>999.98</v>
      </c>
      <c r="Q554" s="8"/>
    </row>
    <row r="555" spans="1:17" ht="14.25" customHeight="1" x14ac:dyDescent="0.3">
      <c r="A555" s="2" t="s">
        <v>603</v>
      </c>
      <c r="B555" s="2" t="s">
        <v>27</v>
      </c>
      <c r="C555" s="2" t="s">
        <v>43</v>
      </c>
      <c r="D555" s="2" t="s">
        <v>60</v>
      </c>
      <c r="E555" s="2" t="s">
        <v>24</v>
      </c>
      <c r="F555" s="2">
        <v>3</v>
      </c>
      <c r="G555" s="2" t="s">
        <v>61</v>
      </c>
      <c r="H555" t="str" cm="1">
        <f t="array" ref="H555:J555">_xlfn.XLOOKUP(C555,Products!A:A,Products!B:D)</f>
        <v>Bluetooth Speaker</v>
      </c>
      <c r="I555" t="str">
        <v>Accessories</v>
      </c>
      <c r="J555">
        <v>79.989999999999995</v>
      </c>
      <c r="K555">
        <f t="shared" si="9"/>
        <v>239.96999999999997</v>
      </c>
      <c r="Q555" s="8"/>
    </row>
    <row r="556" spans="1:17" ht="14.25" customHeight="1" x14ac:dyDescent="0.3">
      <c r="A556" s="2" t="s">
        <v>604</v>
      </c>
      <c r="B556" s="2" t="s">
        <v>54</v>
      </c>
      <c r="C556" s="2" t="s">
        <v>30</v>
      </c>
      <c r="D556" s="2" t="s">
        <v>41</v>
      </c>
      <c r="E556" s="2" t="s">
        <v>20</v>
      </c>
      <c r="F556" s="2">
        <v>2</v>
      </c>
      <c r="G556" s="2" t="s">
        <v>21</v>
      </c>
      <c r="H556" t="str" cm="1">
        <f t="array" ref="H556:J556">_xlfn.XLOOKUP(C556,Products!A:A,Products!B:D)</f>
        <v>Wireless Headphones</v>
      </c>
      <c r="I556" t="str">
        <v>Accessories</v>
      </c>
      <c r="J556">
        <v>149.99</v>
      </c>
      <c r="K556">
        <f t="shared" si="9"/>
        <v>299.98</v>
      </c>
      <c r="Q556" s="8"/>
    </row>
    <row r="557" spans="1:17" ht="14.25" customHeight="1" x14ac:dyDescent="0.3">
      <c r="A557" s="2" t="s">
        <v>605</v>
      </c>
      <c r="B557" s="2" t="s">
        <v>58</v>
      </c>
      <c r="C557" s="2" t="s">
        <v>43</v>
      </c>
      <c r="D557" s="2" t="s">
        <v>41</v>
      </c>
      <c r="E557" s="2" t="s">
        <v>52</v>
      </c>
      <c r="F557" s="2">
        <v>3</v>
      </c>
      <c r="G557" s="2" t="s">
        <v>21</v>
      </c>
      <c r="H557" t="str" cm="1">
        <f t="array" ref="H557:J557">_xlfn.XLOOKUP(C557,Products!A:A,Products!B:D)</f>
        <v>Bluetooth Speaker</v>
      </c>
      <c r="I557" t="str">
        <v>Accessories</v>
      </c>
      <c r="J557">
        <v>79.989999999999995</v>
      </c>
      <c r="K557">
        <f t="shared" si="9"/>
        <v>239.96999999999997</v>
      </c>
      <c r="Q557" s="8"/>
    </row>
    <row r="558" spans="1:17" ht="14.25" customHeight="1" x14ac:dyDescent="0.3">
      <c r="A558" s="2" t="s">
        <v>606</v>
      </c>
      <c r="B558" s="2" t="s">
        <v>56</v>
      </c>
      <c r="C558" s="2" t="s">
        <v>30</v>
      </c>
      <c r="D558" s="2" t="s">
        <v>19</v>
      </c>
      <c r="E558" s="2" t="s">
        <v>24</v>
      </c>
      <c r="F558" s="2">
        <v>5</v>
      </c>
      <c r="G558" s="2" t="s">
        <v>25</v>
      </c>
      <c r="H558" t="str" cm="1">
        <f t="array" ref="H558:J558">_xlfn.XLOOKUP(C558,Products!A:A,Products!B:D)</f>
        <v>Wireless Headphones</v>
      </c>
      <c r="I558" t="str">
        <v>Accessories</v>
      </c>
      <c r="J558">
        <v>149.99</v>
      </c>
      <c r="K558">
        <f t="shared" si="9"/>
        <v>0</v>
      </c>
      <c r="Q558" s="8"/>
    </row>
    <row r="559" spans="1:17" ht="14.25" customHeight="1" x14ac:dyDescent="0.3">
      <c r="A559" s="2" t="s">
        <v>607</v>
      </c>
      <c r="B559" s="2" t="s">
        <v>27</v>
      </c>
      <c r="C559" s="2" t="s">
        <v>35</v>
      </c>
      <c r="D559" s="2" t="s">
        <v>29</v>
      </c>
      <c r="E559" s="2" t="s">
        <v>20</v>
      </c>
      <c r="F559" s="2">
        <v>3</v>
      </c>
      <c r="G559" s="2" t="s">
        <v>21</v>
      </c>
      <c r="H559" t="str" cm="1">
        <f t="array" ref="H559:J559">_xlfn.XLOOKUP(C559,Products!A:A,Products!B:D)</f>
        <v>Mechanical Keyboard</v>
      </c>
      <c r="I559" t="str">
        <v>Accessories</v>
      </c>
      <c r="J559">
        <v>89.99</v>
      </c>
      <c r="K559">
        <f t="shared" si="9"/>
        <v>269.96999999999997</v>
      </c>
      <c r="Q559" s="8"/>
    </row>
    <row r="560" spans="1:17" ht="14.25" customHeight="1" x14ac:dyDescent="0.3">
      <c r="A560" s="2" t="s">
        <v>608</v>
      </c>
      <c r="B560" s="2" t="s">
        <v>56</v>
      </c>
      <c r="C560" s="2" t="s">
        <v>43</v>
      </c>
      <c r="D560" s="2" t="s">
        <v>60</v>
      </c>
      <c r="E560" s="2" t="s">
        <v>20</v>
      </c>
      <c r="F560" s="2">
        <v>3</v>
      </c>
      <c r="G560" s="2" t="s">
        <v>21</v>
      </c>
      <c r="H560" t="str" cm="1">
        <f t="array" ref="H560:J560">_xlfn.XLOOKUP(C560,Products!A:A,Products!B:D)</f>
        <v>Bluetooth Speaker</v>
      </c>
      <c r="I560" t="str">
        <v>Accessories</v>
      </c>
      <c r="J560">
        <v>79.989999999999995</v>
      </c>
      <c r="K560">
        <f t="shared" si="9"/>
        <v>239.96999999999997</v>
      </c>
      <c r="Q560" s="8"/>
    </row>
    <row r="561" spans="1:17" ht="14.25" customHeight="1" x14ac:dyDescent="0.3">
      <c r="A561" s="2" t="s">
        <v>609</v>
      </c>
      <c r="B561" s="2" t="s">
        <v>58</v>
      </c>
      <c r="C561" s="2" t="s">
        <v>38</v>
      </c>
      <c r="D561" s="2" t="s">
        <v>19</v>
      </c>
      <c r="E561" s="2" t="s">
        <v>47</v>
      </c>
      <c r="F561" s="2">
        <v>3</v>
      </c>
      <c r="G561" s="2" t="s">
        <v>21</v>
      </c>
      <c r="H561" t="str" cm="1">
        <f t="array" ref="H561:J561">_xlfn.XLOOKUP(C561,Products!A:A,Products!B:D)</f>
        <v>Gaming Mouse</v>
      </c>
      <c r="I561" t="str">
        <v>Accessories</v>
      </c>
      <c r="J561">
        <v>49.99</v>
      </c>
      <c r="K561">
        <f t="shared" si="9"/>
        <v>149.97</v>
      </c>
      <c r="Q561" s="8"/>
    </row>
    <row r="562" spans="1:17" ht="14.25" customHeight="1" x14ac:dyDescent="0.3">
      <c r="A562" s="2" t="s">
        <v>610</v>
      </c>
      <c r="B562" s="2" t="s">
        <v>56</v>
      </c>
      <c r="C562" s="2" t="s">
        <v>18</v>
      </c>
      <c r="D562" s="2" t="s">
        <v>41</v>
      </c>
      <c r="E562" s="2" t="s">
        <v>52</v>
      </c>
      <c r="F562" s="2">
        <v>2</v>
      </c>
      <c r="G562" s="2" t="s">
        <v>21</v>
      </c>
      <c r="H562" t="str" cm="1">
        <f t="array" ref="H562:J562">_xlfn.XLOOKUP(C562,Products!A:A,Products!B:D)</f>
        <v>Tablet Air</v>
      </c>
      <c r="I562" t="str">
        <v>Electronics</v>
      </c>
      <c r="J562">
        <v>499.99</v>
      </c>
      <c r="K562">
        <f t="shared" si="9"/>
        <v>999.98</v>
      </c>
      <c r="Q562" s="8"/>
    </row>
    <row r="563" spans="1:17" ht="14.25" customHeight="1" x14ac:dyDescent="0.3">
      <c r="A563" s="2" t="s">
        <v>611</v>
      </c>
      <c r="B563" s="2" t="s">
        <v>54</v>
      </c>
      <c r="C563" s="2" t="s">
        <v>18</v>
      </c>
      <c r="D563" s="2" t="s">
        <v>41</v>
      </c>
      <c r="E563" s="2" t="s">
        <v>47</v>
      </c>
      <c r="F563" s="2">
        <v>5</v>
      </c>
      <c r="G563" s="2" t="s">
        <v>21</v>
      </c>
      <c r="H563" t="str" cm="1">
        <f t="array" ref="H563:J563">_xlfn.XLOOKUP(C563,Products!A:A,Products!B:D)</f>
        <v>Tablet Air</v>
      </c>
      <c r="I563" t="str">
        <v>Electronics</v>
      </c>
      <c r="J563">
        <v>499.99</v>
      </c>
      <c r="K563">
        <f t="shared" si="9"/>
        <v>2499.9499999999998</v>
      </c>
      <c r="Q563" s="8"/>
    </row>
    <row r="564" spans="1:17" ht="14.25" customHeight="1" x14ac:dyDescent="0.3">
      <c r="A564" s="2" t="s">
        <v>612</v>
      </c>
      <c r="B564" s="2" t="s">
        <v>34</v>
      </c>
      <c r="C564" s="2" t="s">
        <v>18</v>
      </c>
      <c r="D564" s="2" t="s">
        <v>37</v>
      </c>
      <c r="E564" s="2" t="s">
        <v>24</v>
      </c>
      <c r="F564" s="2">
        <v>5</v>
      </c>
      <c r="G564" s="2" t="s">
        <v>21</v>
      </c>
      <c r="H564" t="str" cm="1">
        <f t="array" ref="H564:J564">_xlfn.XLOOKUP(C564,Products!A:A,Products!B:D)</f>
        <v>Tablet Air</v>
      </c>
      <c r="I564" t="str">
        <v>Electronics</v>
      </c>
      <c r="J564">
        <v>499.99</v>
      </c>
      <c r="K564">
        <f t="shared" si="9"/>
        <v>2499.9499999999998</v>
      </c>
      <c r="Q564" s="8"/>
    </row>
    <row r="565" spans="1:17" ht="14.25" customHeight="1" x14ac:dyDescent="0.3">
      <c r="A565" s="2" t="s">
        <v>613</v>
      </c>
      <c r="B565" s="2" t="s">
        <v>34</v>
      </c>
      <c r="C565" s="2" t="s">
        <v>23</v>
      </c>
      <c r="D565" s="2" t="s">
        <v>19</v>
      </c>
      <c r="E565" s="2" t="s">
        <v>47</v>
      </c>
      <c r="F565" s="2">
        <v>4</v>
      </c>
      <c r="G565" s="2" t="s">
        <v>21</v>
      </c>
      <c r="H565" t="str" cm="1">
        <f t="array" ref="H565:J565">_xlfn.XLOOKUP(C565,Products!A:A,Products!B:D)</f>
        <v>4K Monitor</v>
      </c>
      <c r="I565" t="str">
        <v>Electronics</v>
      </c>
      <c r="J565">
        <v>349.99</v>
      </c>
      <c r="K565">
        <f t="shared" si="9"/>
        <v>1399.96</v>
      </c>
      <c r="Q565" s="8"/>
    </row>
    <row r="566" spans="1:17" ht="14.25" customHeight="1" x14ac:dyDescent="0.3">
      <c r="A566" s="2" t="s">
        <v>614</v>
      </c>
      <c r="B566" s="2" t="s">
        <v>56</v>
      </c>
      <c r="C566" s="2" t="s">
        <v>46</v>
      </c>
      <c r="D566" s="2" t="s">
        <v>37</v>
      </c>
      <c r="E566" s="2" t="s">
        <v>20</v>
      </c>
      <c r="F566" s="2">
        <v>4</v>
      </c>
      <c r="G566" s="2" t="s">
        <v>21</v>
      </c>
      <c r="H566" t="str" cm="1">
        <f t="array" ref="H566:J566">_xlfn.XLOOKUP(C566,Products!A:A,Products!B:D)</f>
        <v>Ergonomic Chair</v>
      </c>
      <c r="I566" t="str">
        <v>Furniture</v>
      </c>
      <c r="J566">
        <v>249.99</v>
      </c>
      <c r="K566">
        <f t="shared" si="9"/>
        <v>999.96</v>
      </c>
      <c r="Q566" s="8"/>
    </row>
    <row r="567" spans="1:17" ht="14.25" customHeight="1" x14ac:dyDescent="0.3">
      <c r="A567" s="2" t="s">
        <v>615</v>
      </c>
      <c r="B567" s="2" t="s">
        <v>27</v>
      </c>
      <c r="C567" s="2" t="s">
        <v>30</v>
      </c>
      <c r="D567" s="2" t="s">
        <v>19</v>
      </c>
      <c r="E567" s="2" t="s">
        <v>24</v>
      </c>
      <c r="F567" s="2">
        <v>2</v>
      </c>
      <c r="G567" s="2" t="s">
        <v>25</v>
      </c>
      <c r="H567" t="str" cm="1">
        <f t="array" ref="H567:J567">_xlfn.XLOOKUP(C567,Products!A:A,Products!B:D)</f>
        <v>Wireless Headphones</v>
      </c>
      <c r="I567" t="str">
        <v>Accessories</v>
      </c>
      <c r="J567">
        <v>149.99</v>
      </c>
      <c r="K567">
        <f t="shared" si="9"/>
        <v>0</v>
      </c>
      <c r="Q567" s="8"/>
    </row>
    <row r="568" spans="1:17" ht="14.25" customHeight="1" x14ac:dyDescent="0.3">
      <c r="A568" s="2" t="s">
        <v>616</v>
      </c>
      <c r="B568" s="2" t="s">
        <v>58</v>
      </c>
      <c r="C568" s="2" t="s">
        <v>35</v>
      </c>
      <c r="D568" s="2" t="s">
        <v>29</v>
      </c>
      <c r="E568" s="2" t="s">
        <v>20</v>
      </c>
      <c r="F568" s="2">
        <v>1</v>
      </c>
      <c r="G568" s="2" t="s">
        <v>21</v>
      </c>
      <c r="H568" t="str" cm="1">
        <f t="array" ref="H568:J568">_xlfn.XLOOKUP(C568,Products!A:A,Products!B:D)</f>
        <v>Mechanical Keyboard</v>
      </c>
      <c r="I568" t="str">
        <v>Accessories</v>
      </c>
      <c r="J568">
        <v>89.99</v>
      </c>
      <c r="K568">
        <f t="shared" si="9"/>
        <v>89.99</v>
      </c>
      <c r="Q568" s="8"/>
    </row>
    <row r="569" spans="1:17" ht="14.25" customHeight="1" x14ac:dyDescent="0.3">
      <c r="A569" s="2" t="s">
        <v>617</v>
      </c>
      <c r="B569" s="2" t="s">
        <v>56</v>
      </c>
      <c r="C569" s="2" t="s">
        <v>18</v>
      </c>
      <c r="D569" s="2" t="s">
        <v>29</v>
      </c>
      <c r="E569" s="2" t="s">
        <v>52</v>
      </c>
      <c r="F569" s="2">
        <v>3</v>
      </c>
      <c r="G569" s="2" t="s">
        <v>21</v>
      </c>
      <c r="H569" t="str" cm="1">
        <f t="array" ref="H569:J569">_xlfn.XLOOKUP(C569,Products!A:A,Products!B:D)</f>
        <v>Tablet Air</v>
      </c>
      <c r="I569" t="str">
        <v>Electronics</v>
      </c>
      <c r="J569">
        <v>499.99</v>
      </c>
      <c r="K569">
        <f t="shared" si="9"/>
        <v>1499.97</v>
      </c>
      <c r="Q569" s="8"/>
    </row>
    <row r="570" spans="1:17" ht="14.25" customHeight="1" x14ac:dyDescent="0.3">
      <c r="A570" s="2" t="s">
        <v>618</v>
      </c>
      <c r="B570" s="2" t="s">
        <v>54</v>
      </c>
      <c r="C570" s="2" t="s">
        <v>18</v>
      </c>
      <c r="D570" s="2" t="s">
        <v>19</v>
      </c>
      <c r="E570" s="2" t="s">
        <v>24</v>
      </c>
      <c r="F570" s="2">
        <v>5</v>
      </c>
      <c r="G570" s="2" t="s">
        <v>21</v>
      </c>
      <c r="H570" t="str" cm="1">
        <f t="array" ref="H570:J570">_xlfn.XLOOKUP(C570,Products!A:A,Products!B:D)</f>
        <v>Tablet Air</v>
      </c>
      <c r="I570" t="str">
        <v>Electronics</v>
      </c>
      <c r="J570">
        <v>499.99</v>
      </c>
      <c r="K570">
        <f t="shared" si="9"/>
        <v>2499.9499999999998</v>
      </c>
      <c r="Q570" s="8"/>
    </row>
    <row r="571" spans="1:17" ht="14.25" customHeight="1" x14ac:dyDescent="0.3">
      <c r="A571" s="2" t="s">
        <v>619</v>
      </c>
      <c r="B571" s="2" t="s">
        <v>27</v>
      </c>
      <c r="C571" s="2" t="s">
        <v>43</v>
      </c>
      <c r="D571" s="2" t="s">
        <v>60</v>
      </c>
      <c r="E571" s="2" t="s">
        <v>20</v>
      </c>
      <c r="F571" s="2">
        <v>1</v>
      </c>
      <c r="G571" s="2" t="s">
        <v>21</v>
      </c>
      <c r="H571" t="str" cm="1">
        <f t="array" ref="H571:J571">_xlfn.XLOOKUP(C571,Products!A:A,Products!B:D)</f>
        <v>Bluetooth Speaker</v>
      </c>
      <c r="I571" t="str">
        <v>Accessories</v>
      </c>
      <c r="J571">
        <v>79.989999999999995</v>
      </c>
      <c r="K571">
        <f t="shared" si="9"/>
        <v>79.989999999999995</v>
      </c>
      <c r="Q571" s="8"/>
    </row>
    <row r="572" spans="1:17" ht="14.25" customHeight="1" x14ac:dyDescent="0.3">
      <c r="A572" s="2" t="s">
        <v>620</v>
      </c>
      <c r="B572" s="2" t="s">
        <v>56</v>
      </c>
      <c r="C572" s="2" t="s">
        <v>35</v>
      </c>
      <c r="D572" s="2" t="s">
        <v>19</v>
      </c>
      <c r="E572" s="2" t="s">
        <v>52</v>
      </c>
      <c r="F572" s="2">
        <v>3</v>
      </c>
      <c r="G572" s="2" t="s">
        <v>21</v>
      </c>
      <c r="H572" t="str" cm="1">
        <f t="array" ref="H572:J572">_xlfn.XLOOKUP(C572,Products!A:A,Products!B:D)</f>
        <v>Mechanical Keyboard</v>
      </c>
      <c r="I572" t="str">
        <v>Accessories</v>
      </c>
      <c r="J572">
        <v>89.99</v>
      </c>
      <c r="K572">
        <f t="shared" si="9"/>
        <v>269.96999999999997</v>
      </c>
      <c r="Q572" s="8"/>
    </row>
    <row r="573" spans="1:17" ht="14.25" customHeight="1" x14ac:dyDescent="0.3">
      <c r="A573" s="2" t="s">
        <v>621</v>
      </c>
      <c r="B573" s="2" t="s">
        <v>17</v>
      </c>
      <c r="C573" s="2" t="s">
        <v>38</v>
      </c>
      <c r="D573" s="2" t="s">
        <v>41</v>
      </c>
      <c r="E573" s="2" t="s">
        <v>52</v>
      </c>
      <c r="F573" s="2">
        <v>3</v>
      </c>
      <c r="G573" s="2" t="s">
        <v>25</v>
      </c>
      <c r="H573" t="str" cm="1">
        <f t="array" ref="H573:J573">_xlfn.XLOOKUP(C573,Products!A:A,Products!B:D)</f>
        <v>Gaming Mouse</v>
      </c>
      <c r="I573" t="str">
        <v>Accessories</v>
      </c>
      <c r="J573">
        <v>49.99</v>
      </c>
      <c r="K573">
        <f t="shared" si="9"/>
        <v>0</v>
      </c>
      <c r="Q573" s="8"/>
    </row>
    <row r="574" spans="1:17" ht="14.25" customHeight="1" x14ac:dyDescent="0.3">
      <c r="A574" s="2" t="s">
        <v>622</v>
      </c>
      <c r="B574" s="2" t="s">
        <v>27</v>
      </c>
      <c r="C574" s="2" t="s">
        <v>46</v>
      </c>
      <c r="D574" s="2" t="s">
        <v>41</v>
      </c>
      <c r="E574" s="2" t="s">
        <v>52</v>
      </c>
      <c r="F574" s="2">
        <v>2</v>
      </c>
      <c r="G574" s="2" t="s">
        <v>21</v>
      </c>
      <c r="H574" t="str" cm="1">
        <f t="array" ref="H574:J574">_xlfn.XLOOKUP(C574,Products!A:A,Products!B:D)</f>
        <v>Ergonomic Chair</v>
      </c>
      <c r="I574" t="str">
        <v>Furniture</v>
      </c>
      <c r="J574">
        <v>249.99</v>
      </c>
      <c r="K574">
        <f t="shared" si="9"/>
        <v>499.98</v>
      </c>
      <c r="Q574" s="8"/>
    </row>
    <row r="575" spans="1:17" ht="14.25" customHeight="1" x14ac:dyDescent="0.3">
      <c r="A575" s="2" t="s">
        <v>623</v>
      </c>
      <c r="B575" s="2" t="s">
        <v>58</v>
      </c>
      <c r="C575" s="2" t="s">
        <v>35</v>
      </c>
      <c r="D575" s="2" t="s">
        <v>60</v>
      </c>
      <c r="E575" s="2" t="s">
        <v>24</v>
      </c>
      <c r="F575" s="2">
        <v>3</v>
      </c>
      <c r="G575" s="2" t="s">
        <v>21</v>
      </c>
      <c r="H575" t="str" cm="1">
        <f t="array" ref="H575:J575">_xlfn.XLOOKUP(C575,Products!A:A,Products!B:D)</f>
        <v>Mechanical Keyboard</v>
      </c>
      <c r="I575" t="str">
        <v>Accessories</v>
      </c>
      <c r="J575">
        <v>89.99</v>
      </c>
      <c r="K575">
        <f t="shared" si="9"/>
        <v>269.96999999999997</v>
      </c>
      <c r="Q575" s="8"/>
    </row>
    <row r="576" spans="1:17" ht="14.25" customHeight="1" x14ac:dyDescent="0.3">
      <c r="A576" s="2" t="s">
        <v>624</v>
      </c>
      <c r="B576" s="2" t="s">
        <v>56</v>
      </c>
      <c r="C576" s="2" t="s">
        <v>23</v>
      </c>
      <c r="D576" s="2" t="s">
        <v>37</v>
      </c>
      <c r="E576" s="2" t="s">
        <v>24</v>
      </c>
      <c r="F576" s="2">
        <v>4</v>
      </c>
      <c r="G576" s="2" t="s">
        <v>21</v>
      </c>
      <c r="H576" t="str" cm="1">
        <f t="array" ref="H576:J576">_xlfn.XLOOKUP(C576,Products!A:A,Products!B:D)</f>
        <v>4K Monitor</v>
      </c>
      <c r="I576" t="str">
        <v>Electronics</v>
      </c>
      <c r="J576">
        <v>349.99</v>
      </c>
      <c r="K576">
        <f t="shared" si="9"/>
        <v>1399.96</v>
      </c>
      <c r="Q576" s="8"/>
    </row>
    <row r="577" spans="1:17" ht="14.25" customHeight="1" x14ac:dyDescent="0.3">
      <c r="A577" s="2" t="s">
        <v>625</v>
      </c>
      <c r="B577" s="2" t="s">
        <v>34</v>
      </c>
      <c r="C577" s="2" t="s">
        <v>43</v>
      </c>
      <c r="D577" s="2" t="s">
        <v>37</v>
      </c>
      <c r="E577" s="2" t="s">
        <v>20</v>
      </c>
      <c r="F577" s="2">
        <v>2</v>
      </c>
      <c r="G577" s="2" t="s">
        <v>21</v>
      </c>
      <c r="H577" t="str" cm="1">
        <f t="array" ref="H577:J577">_xlfn.XLOOKUP(C577,Products!A:A,Products!B:D)</f>
        <v>Bluetooth Speaker</v>
      </c>
      <c r="I577" t="str">
        <v>Accessories</v>
      </c>
      <c r="J577">
        <v>79.989999999999995</v>
      </c>
      <c r="K577">
        <f t="shared" si="9"/>
        <v>159.97999999999999</v>
      </c>
      <c r="Q577" s="8"/>
    </row>
    <row r="578" spans="1:17" ht="14.25" customHeight="1" x14ac:dyDescent="0.3">
      <c r="A578" s="2" t="s">
        <v>626</v>
      </c>
      <c r="B578" s="2" t="s">
        <v>56</v>
      </c>
      <c r="C578" s="2" t="s">
        <v>23</v>
      </c>
      <c r="D578" s="2" t="s">
        <v>41</v>
      </c>
      <c r="E578" s="2" t="s">
        <v>20</v>
      </c>
      <c r="F578" s="2">
        <v>5</v>
      </c>
      <c r="G578" s="2" t="s">
        <v>25</v>
      </c>
      <c r="H578" t="str" cm="1">
        <f t="array" ref="H578:J578">_xlfn.XLOOKUP(C578,Products!A:A,Products!B:D)</f>
        <v>4K Monitor</v>
      </c>
      <c r="I578" t="str">
        <v>Electronics</v>
      </c>
      <c r="J578">
        <v>349.99</v>
      </c>
      <c r="K578">
        <f t="shared" si="9"/>
        <v>0</v>
      </c>
      <c r="Q578" s="8"/>
    </row>
    <row r="579" spans="1:17" ht="14.25" customHeight="1" x14ac:dyDescent="0.3">
      <c r="A579" s="2" t="s">
        <v>627</v>
      </c>
      <c r="B579" s="2" t="s">
        <v>27</v>
      </c>
      <c r="C579" s="2" t="s">
        <v>30</v>
      </c>
      <c r="D579" s="2" t="s">
        <v>29</v>
      </c>
      <c r="E579" s="2" t="s">
        <v>20</v>
      </c>
      <c r="F579" s="2">
        <v>5</v>
      </c>
      <c r="G579" s="2" t="s">
        <v>21</v>
      </c>
      <c r="H579" t="str" cm="1">
        <f t="array" ref="H579:J579">_xlfn.XLOOKUP(C579,Products!A:A,Products!B:D)</f>
        <v>Wireless Headphones</v>
      </c>
      <c r="I579" t="str">
        <v>Accessories</v>
      </c>
      <c r="J579">
        <v>149.99</v>
      </c>
      <c r="K579">
        <f t="shared" ref="K579:K642" si="10">IF(G579="Cancelled", 0, F579*J579)</f>
        <v>749.95</v>
      </c>
      <c r="Q579" s="8"/>
    </row>
    <row r="580" spans="1:17" ht="14.25" customHeight="1" x14ac:dyDescent="0.3">
      <c r="A580" s="2" t="s">
        <v>628</v>
      </c>
      <c r="B580" s="2" t="s">
        <v>17</v>
      </c>
      <c r="C580" s="2" t="s">
        <v>46</v>
      </c>
      <c r="D580" s="2" t="s">
        <v>29</v>
      </c>
      <c r="E580" s="2" t="s">
        <v>20</v>
      </c>
      <c r="F580" s="2">
        <v>2</v>
      </c>
      <c r="G580" s="2" t="s">
        <v>21</v>
      </c>
      <c r="H580" t="str" cm="1">
        <f t="array" ref="H580:J580">_xlfn.XLOOKUP(C580,Products!A:A,Products!B:D)</f>
        <v>Ergonomic Chair</v>
      </c>
      <c r="I580" t="str">
        <v>Furniture</v>
      </c>
      <c r="J580">
        <v>249.99</v>
      </c>
      <c r="K580">
        <f t="shared" si="10"/>
        <v>499.98</v>
      </c>
      <c r="Q580" s="8"/>
    </row>
    <row r="581" spans="1:17" ht="14.25" customHeight="1" x14ac:dyDescent="0.3">
      <c r="A581" s="2" t="s">
        <v>629</v>
      </c>
      <c r="B581" s="2" t="s">
        <v>54</v>
      </c>
      <c r="C581" s="2" t="s">
        <v>30</v>
      </c>
      <c r="D581" s="2" t="s">
        <v>19</v>
      </c>
      <c r="E581" s="2" t="s">
        <v>47</v>
      </c>
      <c r="F581" s="2">
        <v>2</v>
      </c>
      <c r="G581" s="2" t="s">
        <v>21</v>
      </c>
      <c r="H581" t="str" cm="1">
        <f t="array" ref="H581:J581">_xlfn.XLOOKUP(C581,Products!A:A,Products!B:D)</f>
        <v>Wireless Headphones</v>
      </c>
      <c r="I581" t="str">
        <v>Accessories</v>
      </c>
      <c r="J581">
        <v>149.99</v>
      </c>
      <c r="K581">
        <f t="shared" si="10"/>
        <v>299.98</v>
      </c>
      <c r="Q581" s="8"/>
    </row>
    <row r="582" spans="1:17" ht="14.25" customHeight="1" x14ac:dyDescent="0.3">
      <c r="A582" s="2" t="s">
        <v>630</v>
      </c>
      <c r="B582" s="2" t="s">
        <v>54</v>
      </c>
      <c r="C582" s="2" t="s">
        <v>35</v>
      </c>
      <c r="D582" s="2" t="s">
        <v>60</v>
      </c>
      <c r="E582" s="2" t="s">
        <v>47</v>
      </c>
      <c r="F582" s="2">
        <v>3</v>
      </c>
      <c r="G582" s="2" t="s">
        <v>21</v>
      </c>
      <c r="H582" t="str" cm="1">
        <f t="array" ref="H582:J582">_xlfn.XLOOKUP(C582,Products!A:A,Products!B:D)</f>
        <v>Mechanical Keyboard</v>
      </c>
      <c r="I582" t="str">
        <v>Accessories</v>
      </c>
      <c r="J582">
        <v>89.99</v>
      </c>
      <c r="K582">
        <f t="shared" si="10"/>
        <v>269.96999999999997</v>
      </c>
      <c r="Q582" s="8"/>
    </row>
    <row r="583" spans="1:17" ht="14.25" customHeight="1" x14ac:dyDescent="0.3">
      <c r="A583" s="2" t="s">
        <v>631</v>
      </c>
      <c r="B583" s="2" t="s">
        <v>56</v>
      </c>
      <c r="C583" s="2" t="s">
        <v>30</v>
      </c>
      <c r="D583" s="2" t="s">
        <v>29</v>
      </c>
      <c r="E583" s="2" t="s">
        <v>20</v>
      </c>
      <c r="F583" s="2">
        <v>2</v>
      </c>
      <c r="G583" s="2" t="s">
        <v>21</v>
      </c>
      <c r="H583" t="str" cm="1">
        <f t="array" ref="H583:J583">_xlfn.XLOOKUP(C583,Products!A:A,Products!B:D)</f>
        <v>Wireless Headphones</v>
      </c>
      <c r="I583" t="str">
        <v>Accessories</v>
      </c>
      <c r="J583">
        <v>149.99</v>
      </c>
      <c r="K583">
        <f t="shared" si="10"/>
        <v>299.98</v>
      </c>
      <c r="Q583" s="8"/>
    </row>
    <row r="584" spans="1:17" ht="14.25" customHeight="1" x14ac:dyDescent="0.3">
      <c r="A584" s="2" t="s">
        <v>632</v>
      </c>
      <c r="B584" s="2" t="s">
        <v>27</v>
      </c>
      <c r="C584" s="2" t="s">
        <v>43</v>
      </c>
      <c r="D584" s="2" t="s">
        <v>60</v>
      </c>
      <c r="E584" s="2" t="s">
        <v>52</v>
      </c>
      <c r="F584" s="2">
        <v>1</v>
      </c>
      <c r="G584" s="2" t="s">
        <v>21</v>
      </c>
      <c r="H584" t="str" cm="1">
        <f t="array" ref="H584:J584">_xlfn.XLOOKUP(C584,Products!A:A,Products!B:D)</f>
        <v>Bluetooth Speaker</v>
      </c>
      <c r="I584" t="str">
        <v>Accessories</v>
      </c>
      <c r="J584">
        <v>79.989999999999995</v>
      </c>
      <c r="K584">
        <f t="shared" si="10"/>
        <v>79.989999999999995</v>
      </c>
      <c r="Q584" s="8"/>
    </row>
    <row r="585" spans="1:17" ht="14.25" customHeight="1" x14ac:dyDescent="0.3">
      <c r="A585" s="2" t="s">
        <v>633</v>
      </c>
      <c r="B585" s="2" t="s">
        <v>27</v>
      </c>
      <c r="C585" s="2" t="s">
        <v>46</v>
      </c>
      <c r="D585" s="2" t="s">
        <v>41</v>
      </c>
      <c r="E585" s="2" t="s">
        <v>20</v>
      </c>
      <c r="F585" s="2">
        <v>4</v>
      </c>
      <c r="G585" s="2" t="s">
        <v>25</v>
      </c>
      <c r="H585" t="str" cm="1">
        <f t="array" ref="H585:J585">_xlfn.XLOOKUP(C585,Products!A:A,Products!B:D)</f>
        <v>Ergonomic Chair</v>
      </c>
      <c r="I585" t="str">
        <v>Furniture</v>
      </c>
      <c r="J585">
        <v>249.99</v>
      </c>
      <c r="K585">
        <f t="shared" si="10"/>
        <v>0</v>
      </c>
      <c r="Q585" s="8"/>
    </row>
    <row r="586" spans="1:17" ht="14.25" customHeight="1" x14ac:dyDescent="0.3">
      <c r="A586" s="2" t="s">
        <v>634</v>
      </c>
      <c r="B586" s="2" t="s">
        <v>34</v>
      </c>
      <c r="C586" s="2" t="s">
        <v>46</v>
      </c>
      <c r="D586" s="2" t="s">
        <v>19</v>
      </c>
      <c r="E586" s="2" t="s">
        <v>52</v>
      </c>
      <c r="F586" s="2">
        <v>3</v>
      </c>
      <c r="G586" s="2" t="s">
        <v>21</v>
      </c>
      <c r="H586" t="str" cm="1">
        <f t="array" ref="H586:J586">_xlfn.XLOOKUP(C586,Products!A:A,Products!B:D)</f>
        <v>Ergonomic Chair</v>
      </c>
      <c r="I586" t="str">
        <v>Furniture</v>
      </c>
      <c r="J586">
        <v>249.99</v>
      </c>
      <c r="K586">
        <f t="shared" si="10"/>
        <v>749.97</v>
      </c>
      <c r="Q586" s="8"/>
    </row>
    <row r="587" spans="1:17" ht="14.25" customHeight="1" x14ac:dyDescent="0.3">
      <c r="A587" s="2" t="s">
        <v>635</v>
      </c>
      <c r="B587" s="2" t="s">
        <v>54</v>
      </c>
      <c r="C587" s="2" t="s">
        <v>38</v>
      </c>
      <c r="D587" s="2" t="s">
        <v>60</v>
      </c>
      <c r="E587" s="2" t="s">
        <v>20</v>
      </c>
      <c r="F587" s="2">
        <v>5</v>
      </c>
      <c r="G587" s="2" t="s">
        <v>61</v>
      </c>
      <c r="H587" t="str" cm="1">
        <f t="array" ref="H587:J587">_xlfn.XLOOKUP(C587,Products!A:A,Products!B:D)</f>
        <v>Gaming Mouse</v>
      </c>
      <c r="I587" t="str">
        <v>Accessories</v>
      </c>
      <c r="J587">
        <v>49.99</v>
      </c>
      <c r="K587">
        <f t="shared" si="10"/>
        <v>249.95000000000002</v>
      </c>
      <c r="Q587" s="8"/>
    </row>
    <row r="588" spans="1:17" ht="14.25" customHeight="1" x14ac:dyDescent="0.3">
      <c r="A588" s="2" t="s">
        <v>636</v>
      </c>
      <c r="B588" s="2" t="s">
        <v>17</v>
      </c>
      <c r="C588" s="2" t="s">
        <v>23</v>
      </c>
      <c r="D588" s="2" t="s">
        <v>19</v>
      </c>
      <c r="E588" s="2" t="s">
        <v>20</v>
      </c>
      <c r="F588" s="2">
        <v>2</v>
      </c>
      <c r="G588" s="2" t="s">
        <v>61</v>
      </c>
      <c r="H588" t="str" cm="1">
        <f t="array" ref="H588:J588">_xlfn.XLOOKUP(C588,Products!A:A,Products!B:D)</f>
        <v>4K Monitor</v>
      </c>
      <c r="I588" t="str">
        <v>Electronics</v>
      </c>
      <c r="J588">
        <v>349.99</v>
      </c>
      <c r="K588">
        <f t="shared" si="10"/>
        <v>699.98</v>
      </c>
      <c r="Q588" s="8"/>
    </row>
    <row r="589" spans="1:17" ht="14.25" customHeight="1" x14ac:dyDescent="0.3">
      <c r="A589" s="2" t="s">
        <v>637</v>
      </c>
      <c r="B589" s="2" t="s">
        <v>54</v>
      </c>
      <c r="C589" s="2" t="s">
        <v>43</v>
      </c>
      <c r="D589" s="2" t="s">
        <v>60</v>
      </c>
      <c r="E589" s="2" t="s">
        <v>52</v>
      </c>
      <c r="F589" s="2">
        <v>3</v>
      </c>
      <c r="G589" s="2" t="s">
        <v>61</v>
      </c>
      <c r="H589" t="str" cm="1">
        <f t="array" ref="H589:J589">_xlfn.XLOOKUP(C589,Products!A:A,Products!B:D)</f>
        <v>Bluetooth Speaker</v>
      </c>
      <c r="I589" t="str">
        <v>Accessories</v>
      </c>
      <c r="J589">
        <v>79.989999999999995</v>
      </c>
      <c r="K589">
        <f t="shared" si="10"/>
        <v>239.96999999999997</v>
      </c>
      <c r="Q589" s="8"/>
    </row>
    <row r="590" spans="1:17" ht="14.25" customHeight="1" x14ac:dyDescent="0.3">
      <c r="A590" s="2" t="s">
        <v>638</v>
      </c>
      <c r="B590" s="2" t="s">
        <v>56</v>
      </c>
      <c r="C590" s="2" t="s">
        <v>23</v>
      </c>
      <c r="D590" s="2" t="s">
        <v>60</v>
      </c>
      <c r="E590" s="2" t="s">
        <v>24</v>
      </c>
      <c r="F590" s="2">
        <v>1</v>
      </c>
      <c r="G590" s="2" t="s">
        <v>21</v>
      </c>
      <c r="H590" t="str" cm="1">
        <f t="array" ref="H590:J590">_xlfn.XLOOKUP(C590,Products!A:A,Products!B:D)</f>
        <v>4K Monitor</v>
      </c>
      <c r="I590" t="str">
        <v>Electronics</v>
      </c>
      <c r="J590">
        <v>349.99</v>
      </c>
      <c r="K590">
        <f t="shared" si="10"/>
        <v>349.99</v>
      </c>
      <c r="Q590" s="8"/>
    </row>
    <row r="591" spans="1:17" ht="14.25" customHeight="1" x14ac:dyDescent="0.3">
      <c r="A591" s="2" t="s">
        <v>639</v>
      </c>
      <c r="B591" s="2" t="s">
        <v>56</v>
      </c>
      <c r="C591" s="2" t="s">
        <v>18</v>
      </c>
      <c r="D591" s="2" t="s">
        <v>19</v>
      </c>
      <c r="E591" s="2" t="s">
        <v>47</v>
      </c>
      <c r="F591" s="2">
        <v>2</v>
      </c>
      <c r="G591" s="2" t="s">
        <v>21</v>
      </c>
      <c r="H591" t="str" cm="1">
        <f t="array" ref="H591:J591">_xlfn.XLOOKUP(C591,Products!A:A,Products!B:D)</f>
        <v>Tablet Air</v>
      </c>
      <c r="I591" t="str">
        <v>Electronics</v>
      </c>
      <c r="J591">
        <v>499.99</v>
      </c>
      <c r="K591">
        <f t="shared" si="10"/>
        <v>999.98</v>
      </c>
      <c r="Q591" s="8"/>
    </row>
    <row r="592" spans="1:17" ht="14.25" customHeight="1" x14ac:dyDescent="0.3">
      <c r="A592" s="2" t="s">
        <v>640</v>
      </c>
      <c r="B592" s="2" t="s">
        <v>17</v>
      </c>
      <c r="C592" s="2" t="s">
        <v>7</v>
      </c>
      <c r="D592" s="2" t="s">
        <v>19</v>
      </c>
      <c r="E592" s="2" t="s">
        <v>52</v>
      </c>
      <c r="F592" s="2">
        <v>2</v>
      </c>
      <c r="G592" s="2" t="s">
        <v>21</v>
      </c>
      <c r="H592" t="str" cm="1">
        <f t="array" ref="H592:J592">_xlfn.XLOOKUP(C592,Products!A:A,Products!B:D)</f>
        <v>Smartphone X</v>
      </c>
      <c r="I592" t="str">
        <v>Electronics</v>
      </c>
      <c r="J592">
        <v>999.99</v>
      </c>
      <c r="K592">
        <f t="shared" si="10"/>
        <v>1999.98</v>
      </c>
      <c r="Q592" s="8"/>
    </row>
    <row r="593" spans="1:17" ht="14.25" customHeight="1" x14ac:dyDescent="0.3">
      <c r="A593" s="2" t="s">
        <v>641</v>
      </c>
      <c r="B593" s="2" t="s">
        <v>27</v>
      </c>
      <c r="C593" s="2" t="s">
        <v>35</v>
      </c>
      <c r="D593" s="2" t="s">
        <v>29</v>
      </c>
      <c r="E593" s="2" t="s">
        <v>47</v>
      </c>
      <c r="F593" s="2">
        <v>2</v>
      </c>
      <c r="G593" s="2" t="s">
        <v>21</v>
      </c>
      <c r="H593" t="str" cm="1">
        <f t="array" ref="H593:J593">_xlfn.XLOOKUP(C593,Products!A:A,Products!B:D)</f>
        <v>Mechanical Keyboard</v>
      </c>
      <c r="I593" t="str">
        <v>Accessories</v>
      </c>
      <c r="J593">
        <v>89.99</v>
      </c>
      <c r="K593">
        <f t="shared" si="10"/>
        <v>179.98</v>
      </c>
      <c r="Q593" s="8"/>
    </row>
    <row r="594" spans="1:17" ht="14.25" customHeight="1" x14ac:dyDescent="0.3">
      <c r="A594" s="2" t="s">
        <v>642</v>
      </c>
      <c r="B594" s="2" t="s">
        <v>34</v>
      </c>
      <c r="C594" s="2" t="s">
        <v>46</v>
      </c>
      <c r="D594" s="2" t="s">
        <v>41</v>
      </c>
      <c r="E594" s="2" t="s">
        <v>24</v>
      </c>
      <c r="F594" s="2">
        <v>4</v>
      </c>
      <c r="G594" s="2" t="s">
        <v>61</v>
      </c>
      <c r="H594" t="str" cm="1">
        <f t="array" ref="H594:J594">_xlfn.XLOOKUP(C594,Products!A:A,Products!B:D)</f>
        <v>Ergonomic Chair</v>
      </c>
      <c r="I594" t="str">
        <v>Furniture</v>
      </c>
      <c r="J594">
        <v>249.99</v>
      </c>
      <c r="K594">
        <f t="shared" si="10"/>
        <v>999.96</v>
      </c>
      <c r="Q594" s="8"/>
    </row>
    <row r="595" spans="1:17" ht="14.25" customHeight="1" x14ac:dyDescent="0.3">
      <c r="A595" s="2" t="s">
        <v>643</v>
      </c>
      <c r="B595" s="2" t="s">
        <v>27</v>
      </c>
      <c r="C595" s="2" t="s">
        <v>7</v>
      </c>
      <c r="D595" s="2" t="s">
        <v>41</v>
      </c>
      <c r="E595" s="2" t="s">
        <v>52</v>
      </c>
      <c r="F595" s="2">
        <v>2</v>
      </c>
      <c r="G595" s="2" t="s">
        <v>21</v>
      </c>
      <c r="H595" t="str" cm="1">
        <f t="array" ref="H595:J595">_xlfn.XLOOKUP(C595,Products!A:A,Products!B:D)</f>
        <v>Smartphone X</v>
      </c>
      <c r="I595" t="str">
        <v>Electronics</v>
      </c>
      <c r="J595">
        <v>999.99</v>
      </c>
      <c r="K595">
        <f t="shared" si="10"/>
        <v>1999.98</v>
      </c>
      <c r="Q595" s="8"/>
    </row>
    <row r="596" spans="1:17" ht="14.25" customHeight="1" x14ac:dyDescent="0.3">
      <c r="A596" s="2" t="s">
        <v>644</v>
      </c>
      <c r="B596" s="2" t="s">
        <v>54</v>
      </c>
      <c r="C596" s="2" t="s">
        <v>46</v>
      </c>
      <c r="D596" s="2" t="s">
        <v>29</v>
      </c>
      <c r="E596" s="2" t="s">
        <v>24</v>
      </c>
      <c r="F596" s="2">
        <v>5</v>
      </c>
      <c r="G596" s="2" t="s">
        <v>25</v>
      </c>
      <c r="H596" t="str" cm="1">
        <f t="array" ref="H596:J596">_xlfn.XLOOKUP(C596,Products!A:A,Products!B:D)</f>
        <v>Ergonomic Chair</v>
      </c>
      <c r="I596" t="str">
        <v>Furniture</v>
      </c>
      <c r="J596">
        <v>249.99</v>
      </c>
      <c r="K596">
        <f t="shared" si="10"/>
        <v>0</v>
      </c>
      <c r="Q596" s="8"/>
    </row>
    <row r="597" spans="1:17" ht="14.25" customHeight="1" x14ac:dyDescent="0.3">
      <c r="A597" s="2" t="s">
        <v>645</v>
      </c>
      <c r="B597" s="2" t="s">
        <v>54</v>
      </c>
      <c r="C597" s="2" t="s">
        <v>43</v>
      </c>
      <c r="D597" s="2" t="s">
        <v>41</v>
      </c>
      <c r="E597" s="2" t="s">
        <v>20</v>
      </c>
      <c r="F597" s="2">
        <v>3</v>
      </c>
      <c r="G597" s="2" t="s">
        <v>25</v>
      </c>
      <c r="H597" t="str" cm="1">
        <f t="array" ref="H597:J597">_xlfn.XLOOKUP(C597,Products!A:A,Products!B:D)</f>
        <v>Bluetooth Speaker</v>
      </c>
      <c r="I597" t="str">
        <v>Accessories</v>
      </c>
      <c r="J597">
        <v>79.989999999999995</v>
      </c>
      <c r="K597">
        <f t="shared" si="10"/>
        <v>0</v>
      </c>
      <c r="Q597" s="8"/>
    </row>
    <row r="598" spans="1:17" ht="14.25" customHeight="1" x14ac:dyDescent="0.3">
      <c r="A598" s="2" t="s">
        <v>646</v>
      </c>
      <c r="B598" s="2" t="s">
        <v>54</v>
      </c>
      <c r="C598" s="2" t="s">
        <v>7</v>
      </c>
      <c r="D598" s="2" t="s">
        <v>19</v>
      </c>
      <c r="E598" s="2" t="s">
        <v>20</v>
      </c>
      <c r="F598" s="2">
        <v>2</v>
      </c>
      <c r="G598" s="2" t="s">
        <v>61</v>
      </c>
      <c r="H598" t="str" cm="1">
        <f t="array" ref="H598:J598">_xlfn.XLOOKUP(C598,Products!A:A,Products!B:D)</f>
        <v>Smartphone X</v>
      </c>
      <c r="I598" t="str">
        <v>Electronics</v>
      </c>
      <c r="J598">
        <v>999.99</v>
      </c>
      <c r="K598">
        <f t="shared" si="10"/>
        <v>1999.98</v>
      </c>
      <c r="Q598" s="8"/>
    </row>
    <row r="599" spans="1:17" ht="14.25" customHeight="1" x14ac:dyDescent="0.3">
      <c r="A599" s="2" t="s">
        <v>647</v>
      </c>
      <c r="B599" s="2" t="s">
        <v>27</v>
      </c>
      <c r="C599" s="2" t="s">
        <v>35</v>
      </c>
      <c r="D599" s="2" t="s">
        <v>60</v>
      </c>
      <c r="E599" s="2" t="s">
        <v>24</v>
      </c>
      <c r="F599" s="2">
        <v>2</v>
      </c>
      <c r="G599" s="2" t="s">
        <v>21</v>
      </c>
      <c r="H599" t="str" cm="1">
        <f t="array" ref="H599:J599">_xlfn.XLOOKUP(C599,Products!A:A,Products!B:D)</f>
        <v>Mechanical Keyboard</v>
      </c>
      <c r="I599" t="str">
        <v>Accessories</v>
      </c>
      <c r="J599">
        <v>89.99</v>
      </c>
      <c r="K599">
        <f t="shared" si="10"/>
        <v>179.98</v>
      </c>
      <c r="Q599" s="8"/>
    </row>
    <row r="600" spans="1:17" ht="14.25" customHeight="1" x14ac:dyDescent="0.3">
      <c r="A600" s="2" t="s">
        <v>648</v>
      </c>
      <c r="B600" s="2" t="s">
        <v>27</v>
      </c>
      <c r="C600" s="2" t="s">
        <v>18</v>
      </c>
      <c r="D600" s="2" t="s">
        <v>41</v>
      </c>
      <c r="E600" s="2" t="s">
        <v>24</v>
      </c>
      <c r="F600" s="2">
        <v>3</v>
      </c>
      <c r="G600" s="2" t="s">
        <v>61</v>
      </c>
      <c r="H600" t="str" cm="1">
        <f t="array" ref="H600:J600">_xlfn.XLOOKUP(C600,Products!A:A,Products!B:D)</f>
        <v>Tablet Air</v>
      </c>
      <c r="I600" t="str">
        <v>Electronics</v>
      </c>
      <c r="J600">
        <v>499.99</v>
      </c>
      <c r="K600">
        <f t="shared" si="10"/>
        <v>1499.97</v>
      </c>
      <c r="Q600" s="8"/>
    </row>
    <row r="601" spans="1:17" ht="14.25" customHeight="1" x14ac:dyDescent="0.3">
      <c r="A601" s="2" t="s">
        <v>649</v>
      </c>
      <c r="B601" s="2" t="s">
        <v>27</v>
      </c>
      <c r="C601" s="2" t="s">
        <v>46</v>
      </c>
      <c r="D601" s="2" t="s">
        <v>19</v>
      </c>
      <c r="E601" s="2" t="s">
        <v>47</v>
      </c>
      <c r="F601" s="2">
        <v>2</v>
      </c>
      <c r="G601" s="2" t="s">
        <v>25</v>
      </c>
      <c r="H601" t="str" cm="1">
        <f t="array" ref="H601:J601">_xlfn.XLOOKUP(C601,Products!A:A,Products!B:D)</f>
        <v>Ergonomic Chair</v>
      </c>
      <c r="I601" t="str">
        <v>Furniture</v>
      </c>
      <c r="J601">
        <v>249.99</v>
      </c>
      <c r="K601">
        <f t="shared" si="10"/>
        <v>0</v>
      </c>
      <c r="Q601" s="8"/>
    </row>
    <row r="602" spans="1:17" ht="14.25" customHeight="1" x14ac:dyDescent="0.3">
      <c r="A602" s="2" t="s">
        <v>650</v>
      </c>
      <c r="B602" s="2" t="s">
        <v>56</v>
      </c>
      <c r="C602" s="2" t="s">
        <v>43</v>
      </c>
      <c r="D602" s="2" t="s">
        <v>19</v>
      </c>
      <c r="E602" s="2" t="s">
        <v>24</v>
      </c>
      <c r="F602" s="2">
        <v>3</v>
      </c>
      <c r="G602" s="2" t="s">
        <v>21</v>
      </c>
      <c r="H602" t="str" cm="1">
        <f t="array" ref="H602:J602">_xlfn.XLOOKUP(C602,Products!A:A,Products!B:D)</f>
        <v>Bluetooth Speaker</v>
      </c>
      <c r="I602" t="str">
        <v>Accessories</v>
      </c>
      <c r="J602">
        <v>79.989999999999995</v>
      </c>
      <c r="K602">
        <f t="shared" si="10"/>
        <v>239.96999999999997</v>
      </c>
      <c r="Q602" s="8"/>
    </row>
    <row r="603" spans="1:17" ht="14.25" customHeight="1" x14ac:dyDescent="0.3">
      <c r="A603" s="2" t="s">
        <v>651</v>
      </c>
      <c r="B603" s="2" t="s">
        <v>34</v>
      </c>
      <c r="C603" s="2" t="s">
        <v>46</v>
      </c>
      <c r="D603" s="2" t="s">
        <v>19</v>
      </c>
      <c r="E603" s="2" t="s">
        <v>52</v>
      </c>
      <c r="F603" s="2">
        <v>5</v>
      </c>
      <c r="G603" s="2" t="s">
        <v>21</v>
      </c>
      <c r="H603" t="str" cm="1">
        <f t="array" ref="H603:J603">_xlfn.XLOOKUP(C603,Products!A:A,Products!B:D)</f>
        <v>Ergonomic Chair</v>
      </c>
      <c r="I603" t="str">
        <v>Furniture</v>
      </c>
      <c r="J603">
        <v>249.99</v>
      </c>
      <c r="K603">
        <f t="shared" si="10"/>
        <v>1249.95</v>
      </c>
      <c r="Q603" s="8"/>
    </row>
    <row r="604" spans="1:17" ht="14.25" customHeight="1" x14ac:dyDescent="0.3">
      <c r="A604" s="2" t="s">
        <v>652</v>
      </c>
      <c r="B604" s="2" t="s">
        <v>56</v>
      </c>
      <c r="C604" s="2" t="s">
        <v>7</v>
      </c>
      <c r="D604" s="2" t="s">
        <v>29</v>
      </c>
      <c r="E604" s="2" t="s">
        <v>47</v>
      </c>
      <c r="F604" s="2">
        <v>5</v>
      </c>
      <c r="G604" s="2" t="s">
        <v>21</v>
      </c>
      <c r="H604" t="str" cm="1">
        <f t="array" ref="H604:J604">_xlfn.XLOOKUP(C604,Products!A:A,Products!B:D)</f>
        <v>Smartphone X</v>
      </c>
      <c r="I604" t="str">
        <v>Electronics</v>
      </c>
      <c r="J604">
        <v>999.99</v>
      </c>
      <c r="K604">
        <f t="shared" si="10"/>
        <v>4999.95</v>
      </c>
      <c r="Q604" s="8"/>
    </row>
    <row r="605" spans="1:17" ht="14.25" customHeight="1" x14ac:dyDescent="0.3">
      <c r="A605" s="2" t="s">
        <v>653</v>
      </c>
      <c r="B605" s="2" t="s">
        <v>54</v>
      </c>
      <c r="C605" s="2" t="s">
        <v>35</v>
      </c>
      <c r="D605" s="2" t="s">
        <v>41</v>
      </c>
      <c r="E605" s="2" t="s">
        <v>24</v>
      </c>
      <c r="F605" s="2">
        <v>2</v>
      </c>
      <c r="G605" s="2" t="s">
        <v>21</v>
      </c>
      <c r="H605" t="str" cm="1">
        <f t="array" ref="H605:J605">_xlfn.XLOOKUP(C605,Products!A:A,Products!B:D)</f>
        <v>Mechanical Keyboard</v>
      </c>
      <c r="I605" t="str">
        <v>Accessories</v>
      </c>
      <c r="J605">
        <v>89.99</v>
      </c>
      <c r="K605">
        <f t="shared" si="10"/>
        <v>179.98</v>
      </c>
      <c r="Q605" s="8"/>
    </row>
    <row r="606" spans="1:17" ht="14.25" customHeight="1" x14ac:dyDescent="0.3">
      <c r="A606" s="2" t="s">
        <v>654</v>
      </c>
      <c r="B606" s="2" t="s">
        <v>58</v>
      </c>
      <c r="C606" s="2" t="s">
        <v>35</v>
      </c>
      <c r="D606" s="2" t="s">
        <v>37</v>
      </c>
      <c r="E606" s="2" t="s">
        <v>52</v>
      </c>
      <c r="F606" s="2">
        <v>3</v>
      </c>
      <c r="G606" s="2" t="s">
        <v>21</v>
      </c>
      <c r="H606" t="str" cm="1">
        <f t="array" ref="H606:J606">_xlfn.XLOOKUP(C606,Products!A:A,Products!B:D)</f>
        <v>Mechanical Keyboard</v>
      </c>
      <c r="I606" t="str">
        <v>Accessories</v>
      </c>
      <c r="J606">
        <v>89.99</v>
      </c>
      <c r="K606">
        <f t="shared" si="10"/>
        <v>269.96999999999997</v>
      </c>
      <c r="Q606" s="8"/>
    </row>
    <row r="607" spans="1:17" ht="14.25" customHeight="1" x14ac:dyDescent="0.3">
      <c r="A607" s="2" t="s">
        <v>655</v>
      </c>
      <c r="B607" s="2" t="s">
        <v>54</v>
      </c>
      <c r="C607" s="2" t="s">
        <v>18</v>
      </c>
      <c r="D607" s="2" t="s">
        <v>37</v>
      </c>
      <c r="E607" s="2" t="s">
        <v>52</v>
      </c>
      <c r="F607" s="2">
        <v>3</v>
      </c>
      <c r="G607" s="2" t="s">
        <v>25</v>
      </c>
      <c r="H607" t="str" cm="1">
        <f t="array" ref="H607:J607">_xlfn.XLOOKUP(C607,Products!A:A,Products!B:D)</f>
        <v>Tablet Air</v>
      </c>
      <c r="I607" t="str">
        <v>Electronics</v>
      </c>
      <c r="J607">
        <v>499.99</v>
      </c>
      <c r="K607">
        <f t="shared" si="10"/>
        <v>0</v>
      </c>
      <c r="Q607" s="8"/>
    </row>
    <row r="608" spans="1:17" ht="14.25" customHeight="1" x14ac:dyDescent="0.3">
      <c r="A608" s="2" t="s">
        <v>656</v>
      </c>
      <c r="B608" s="2" t="s">
        <v>17</v>
      </c>
      <c r="C608" s="2" t="s">
        <v>35</v>
      </c>
      <c r="D608" s="2" t="s">
        <v>60</v>
      </c>
      <c r="E608" s="2" t="s">
        <v>24</v>
      </c>
      <c r="F608" s="2">
        <v>5</v>
      </c>
      <c r="G608" s="2" t="s">
        <v>61</v>
      </c>
      <c r="H608" t="str" cm="1">
        <f t="array" ref="H608:J608">_xlfn.XLOOKUP(C608,Products!A:A,Products!B:D)</f>
        <v>Mechanical Keyboard</v>
      </c>
      <c r="I608" t="str">
        <v>Accessories</v>
      </c>
      <c r="J608">
        <v>89.99</v>
      </c>
      <c r="K608">
        <f t="shared" si="10"/>
        <v>449.95</v>
      </c>
      <c r="Q608" s="8"/>
    </row>
    <row r="609" spans="1:17" ht="14.25" customHeight="1" x14ac:dyDescent="0.3">
      <c r="A609" s="2" t="s">
        <v>657</v>
      </c>
      <c r="B609" s="2" t="s">
        <v>54</v>
      </c>
      <c r="C609" s="2" t="s">
        <v>43</v>
      </c>
      <c r="D609" s="2" t="s">
        <v>19</v>
      </c>
      <c r="E609" s="2" t="s">
        <v>20</v>
      </c>
      <c r="F609" s="2">
        <v>2</v>
      </c>
      <c r="G609" s="2" t="s">
        <v>21</v>
      </c>
      <c r="H609" t="str" cm="1">
        <f t="array" ref="H609:J609">_xlfn.XLOOKUP(C609,Products!A:A,Products!B:D)</f>
        <v>Bluetooth Speaker</v>
      </c>
      <c r="I609" t="str">
        <v>Accessories</v>
      </c>
      <c r="J609">
        <v>79.989999999999995</v>
      </c>
      <c r="K609">
        <f t="shared" si="10"/>
        <v>159.97999999999999</v>
      </c>
      <c r="Q609" s="8"/>
    </row>
    <row r="610" spans="1:17" ht="14.25" customHeight="1" x14ac:dyDescent="0.3">
      <c r="A610" s="2" t="s">
        <v>658</v>
      </c>
      <c r="B610" s="2" t="s">
        <v>58</v>
      </c>
      <c r="C610" s="2" t="s">
        <v>30</v>
      </c>
      <c r="D610" s="2" t="s">
        <v>60</v>
      </c>
      <c r="E610" s="2" t="s">
        <v>47</v>
      </c>
      <c r="F610" s="2">
        <v>3</v>
      </c>
      <c r="G610" s="2" t="s">
        <v>21</v>
      </c>
      <c r="H610" t="str" cm="1">
        <f t="array" ref="H610:J610">_xlfn.XLOOKUP(C610,Products!A:A,Products!B:D)</f>
        <v>Wireless Headphones</v>
      </c>
      <c r="I610" t="str">
        <v>Accessories</v>
      </c>
      <c r="J610">
        <v>149.99</v>
      </c>
      <c r="K610">
        <f t="shared" si="10"/>
        <v>449.97</v>
      </c>
      <c r="Q610" s="8"/>
    </row>
    <row r="611" spans="1:17" ht="14.25" customHeight="1" x14ac:dyDescent="0.3">
      <c r="A611" s="2" t="s">
        <v>659</v>
      </c>
      <c r="B611" s="2" t="s">
        <v>17</v>
      </c>
      <c r="C611" s="2" t="s">
        <v>30</v>
      </c>
      <c r="D611" s="2" t="s">
        <v>60</v>
      </c>
      <c r="E611" s="2" t="s">
        <v>47</v>
      </c>
      <c r="F611" s="2">
        <v>3</v>
      </c>
      <c r="G611" s="2" t="s">
        <v>21</v>
      </c>
      <c r="H611" t="str" cm="1">
        <f t="array" ref="H611:J611">_xlfn.XLOOKUP(C611,Products!A:A,Products!B:D)</f>
        <v>Wireless Headphones</v>
      </c>
      <c r="I611" t="str">
        <v>Accessories</v>
      </c>
      <c r="J611">
        <v>149.99</v>
      </c>
      <c r="K611">
        <f t="shared" si="10"/>
        <v>449.97</v>
      </c>
      <c r="Q611" s="8"/>
    </row>
    <row r="612" spans="1:17" ht="14.25" customHeight="1" x14ac:dyDescent="0.3">
      <c r="A612" s="2" t="s">
        <v>660</v>
      </c>
      <c r="B612" s="2" t="s">
        <v>54</v>
      </c>
      <c r="C612" s="2" t="s">
        <v>35</v>
      </c>
      <c r="D612" s="2" t="s">
        <v>37</v>
      </c>
      <c r="E612" s="2" t="s">
        <v>52</v>
      </c>
      <c r="F612" s="2">
        <v>4</v>
      </c>
      <c r="G612" s="2" t="s">
        <v>21</v>
      </c>
      <c r="H612" t="str" cm="1">
        <f t="array" ref="H612:J612">_xlfn.XLOOKUP(C612,Products!A:A,Products!B:D)</f>
        <v>Mechanical Keyboard</v>
      </c>
      <c r="I612" t="str">
        <v>Accessories</v>
      </c>
      <c r="J612">
        <v>89.99</v>
      </c>
      <c r="K612">
        <f t="shared" si="10"/>
        <v>359.96</v>
      </c>
      <c r="Q612" s="8"/>
    </row>
    <row r="613" spans="1:17" ht="14.25" customHeight="1" x14ac:dyDescent="0.3">
      <c r="A613" s="2" t="s">
        <v>661</v>
      </c>
      <c r="B613" s="2" t="s">
        <v>58</v>
      </c>
      <c r="C613" s="2" t="s">
        <v>23</v>
      </c>
      <c r="D613" s="2" t="s">
        <v>60</v>
      </c>
      <c r="E613" s="2" t="s">
        <v>47</v>
      </c>
      <c r="F613" s="2">
        <v>4</v>
      </c>
      <c r="G613" s="2" t="s">
        <v>21</v>
      </c>
      <c r="H613" t="str" cm="1">
        <f t="array" ref="H613:J613">_xlfn.XLOOKUP(C613,Products!A:A,Products!B:D)</f>
        <v>4K Monitor</v>
      </c>
      <c r="I613" t="str">
        <v>Electronics</v>
      </c>
      <c r="J613">
        <v>349.99</v>
      </c>
      <c r="K613">
        <f t="shared" si="10"/>
        <v>1399.96</v>
      </c>
      <c r="Q613" s="8"/>
    </row>
    <row r="614" spans="1:17" ht="14.25" customHeight="1" x14ac:dyDescent="0.3">
      <c r="A614" s="2" t="s">
        <v>662</v>
      </c>
      <c r="B614" s="2" t="s">
        <v>58</v>
      </c>
      <c r="C614" s="2" t="s">
        <v>43</v>
      </c>
      <c r="D614" s="2" t="s">
        <v>37</v>
      </c>
      <c r="E614" s="2" t="s">
        <v>52</v>
      </c>
      <c r="F614" s="2">
        <v>5</v>
      </c>
      <c r="G614" s="2" t="s">
        <v>21</v>
      </c>
      <c r="H614" t="str" cm="1">
        <f t="array" ref="H614:J614">_xlfn.XLOOKUP(C614,Products!A:A,Products!B:D)</f>
        <v>Bluetooth Speaker</v>
      </c>
      <c r="I614" t="str">
        <v>Accessories</v>
      </c>
      <c r="J614">
        <v>79.989999999999995</v>
      </c>
      <c r="K614">
        <f t="shared" si="10"/>
        <v>399.95</v>
      </c>
      <c r="Q614" s="8"/>
    </row>
    <row r="615" spans="1:17" ht="14.25" customHeight="1" x14ac:dyDescent="0.3">
      <c r="A615" s="2" t="s">
        <v>663</v>
      </c>
      <c r="B615" s="2" t="s">
        <v>56</v>
      </c>
      <c r="C615" s="2" t="s">
        <v>23</v>
      </c>
      <c r="D615" s="2" t="s">
        <v>37</v>
      </c>
      <c r="E615" s="2" t="s">
        <v>20</v>
      </c>
      <c r="F615" s="2">
        <v>4</v>
      </c>
      <c r="G615" s="2" t="s">
        <v>21</v>
      </c>
      <c r="H615" t="str" cm="1">
        <f t="array" ref="H615:J615">_xlfn.XLOOKUP(C615,Products!A:A,Products!B:D)</f>
        <v>4K Monitor</v>
      </c>
      <c r="I615" t="str">
        <v>Electronics</v>
      </c>
      <c r="J615">
        <v>349.99</v>
      </c>
      <c r="K615">
        <f t="shared" si="10"/>
        <v>1399.96</v>
      </c>
      <c r="Q615" s="8"/>
    </row>
    <row r="616" spans="1:17" ht="14.25" customHeight="1" x14ac:dyDescent="0.3">
      <c r="A616" s="2" t="s">
        <v>664</v>
      </c>
      <c r="B616" s="2" t="s">
        <v>17</v>
      </c>
      <c r="C616" s="2" t="s">
        <v>18</v>
      </c>
      <c r="D616" s="2" t="s">
        <v>19</v>
      </c>
      <c r="E616" s="2" t="s">
        <v>52</v>
      </c>
      <c r="F616" s="2">
        <v>1</v>
      </c>
      <c r="G616" s="2" t="s">
        <v>21</v>
      </c>
      <c r="H616" t="str" cm="1">
        <f t="array" ref="H616:J616">_xlfn.XLOOKUP(C616,Products!A:A,Products!B:D)</f>
        <v>Tablet Air</v>
      </c>
      <c r="I616" t="str">
        <v>Electronics</v>
      </c>
      <c r="J616">
        <v>499.99</v>
      </c>
      <c r="K616">
        <f t="shared" si="10"/>
        <v>499.99</v>
      </c>
      <c r="Q616" s="8"/>
    </row>
    <row r="617" spans="1:17" ht="14.25" customHeight="1" x14ac:dyDescent="0.3">
      <c r="A617" s="2" t="s">
        <v>665</v>
      </c>
      <c r="B617" s="2" t="s">
        <v>17</v>
      </c>
      <c r="C617" s="2" t="s">
        <v>46</v>
      </c>
      <c r="D617" s="2" t="s">
        <v>60</v>
      </c>
      <c r="E617" s="2" t="s">
        <v>52</v>
      </c>
      <c r="F617" s="2">
        <v>3</v>
      </c>
      <c r="G617" s="2" t="s">
        <v>61</v>
      </c>
      <c r="H617" t="str" cm="1">
        <f t="array" ref="H617:J617">_xlfn.XLOOKUP(C617,Products!A:A,Products!B:D)</f>
        <v>Ergonomic Chair</v>
      </c>
      <c r="I617" t="str">
        <v>Furniture</v>
      </c>
      <c r="J617">
        <v>249.99</v>
      </c>
      <c r="K617">
        <f t="shared" si="10"/>
        <v>749.97</v>
      </c>
      <c r="Q617" s="8"/>
    </row>
    <row r="618" spans="1:17" ht="14.25" customHeight="1" x14ac:dyDescent="0.3">
      <c r="A618" s="2" t="s">
        <v>666</v>
      </c>
      <c r="B618" s="2" t="s">
        <v>34</v>
      </c>
      <c r="C618" s="2" t="s">
        <v>7</v>
      </c>
      <c r="D618" s="2" t="s">
        <v>60</v>
      </c>
      <c r="E618" s="2" t="s">
        <v>52</v>
      </c>
      <c r="F618" s="2">
        <v>1</v>
      </c>
      <c r="G618" s="2" t="s">
        <v>61</v>
      </c>
      <c r="H618" t="str" cm="1">
        <f t="array" ref="H618:J618">_xlfn.XLOOKUP(C618,Products!A:A,Products!B:D)</f>
        <v>Smartphone X</v>
      </c>
      <c r="I618" t="str">
        <v>Electronics</v>
      </c>
      <c r="J618">
        <v>999.99</v>
      </c>
      <c r="K618">
        <f t="shared" si="10"/>
        <v>999.99</v>
      </c>
      <c r="Q618" s="8"/>
    </row>
    <row r="619" spans="1:17" ht="14.25" customHeight="1" x14ac:dyDescent="0.3">
      <c r="A619" s="2" t="s">
        <v>667</v>
      </c>
      <c r="B619" s="2" t="s">
        <v>17</v>
      </c>
      <c r="C619" s="2" t="s">
        <v>35</v>
      </c>
      <c r="D619" s="2" t="s">
        <v>19</v>
      </c>
      <c r="E619" s="2" t="s">
        <v>24</v>
      </c>
      <c r="F619" s="2">
        <v>4</v>
      </c>
      <c r="G619" s="2" t="s">
        <v>21</v>
      </c>
      <c r="H619" t="str" cm="1">
        <f t="array" ref="H619:J619">_xlfn.XLOOKUP(C619,Products!A:A,Products!B:D)</f>
        <v>Mechanical Keyboard</v>
      </c>
      <c r="I619" t="str">
        <v>Accessories</v>
      </c>
      <c r="J619">
        <v>89.99</v>
      </c>
      <c r="K619">
        <f t="shared" si="10"/>
        <v>359.96</v>
      </c>
      <c r="Q619" s="8"/>
    </row>
    <row r="620" spans="1:17" ht="14.25" customHeight="1" x14ac:dyDescent="0.3">
      <c r="A620" s="2" t="s">
        <v>668</v>
      </c>
      <c r="B620" s="2" t="s">
        <v>34</v>
      </c>
      <c r="C620" s="2" t="s">
        <v>43</v>
      </c>
      <c r="D620" s="2" t="s">
        <v>41</v>
      </c>
      <c r="E620" s="2" t="s">
        <v>52</v>
      </c>
      <c r="F620" s="2">
        <v>4</v>
      </c>
      <c r="G620" s="2" t="s">
        <v>21</v>
      </c>
      <c r="H620" t="str" cm="1">
        <f t="array" ref="H620:J620">_xlfn.XLOOKUP(C620,Products!A:A,Products!B:D)</f>
        <v>Bluetooth Speaker</v>
      </c>
      <c r="I620" t="str">
        <v>Accessories</v>
      </c>
      <c r="J620">
        <v>79.989999999999995</v>
      </c>
      <c r="K620">
        <f t="shared" si="10"/>
        <v>319.95999999999998</v>
      </c>
      <c r="Q620" s="8"/>
    </row>
    <row r="621" spans="1:17" ht="14.25" customHeight="1" x14ac:dyDescent="0.3">
      <c r="A621" s="2" t="s">
        <v>669</v>
      </c>
      <c r="B621" s="2" t="s">
        <v>58</v>
      </c>
      <c r="C621" s="2" t="s">
        <v>43</v>
      </c>
      <c r="D621" s="2" t="s">
        <v>41</v>
      </c>
      <c r="E621" s="2" t="s">
        <v>47</v>
      </c>
      <c r="F621" s="2">
        <v>2</v>
      </c>
      <c r="G621" s="2" t="s">
        <v>21</v>
      </c>
      <c r="H621" t="str" cm="1">
        <f t="array" ref="H621:J621">_xlfn.XLOOKUP(C621,Products!A:A,Products!B:D)</f>
        <v>Bluetooth Speaker</v>
      </c>
      <c r="I621" t="str">
        <v>Accessories</v>
      </c>
      <c r="J621">
        <v>79.989999999999995</v>
      </c>
      <c r="K621">
        <f t="shared" si="10"/>
        <v>159.97999999999999</v>
      </c>
      <c r="Q621" s="8"/>
    </row>
    <row r="622" spans="1:17" ht="14.25" customHeight="1" x14ac:dyDescent="0.3">
      <c r="A622" s="2" t="s">
        <v>670</v>
      </c>
      <c r="B622" s="2" t="s">
        <v>56</v>
      </c>
      <c r="C622" s="2" t="s">
        <v>30</v>
      </c>
      <c r="D622" s="2" t="s">
        <v>60</v>
      </c>
      <c r="E622" s="2" t="s">
        <v>20</v>
      </c>
      <c r="F622" s="2">
        <v>3</v>
      </c>
      <c r="G622" s="2" t="s">
        <v>61</v>
      </c>
      <c r="H622" t="str" cm="1">
        <f t="array" ref="H622:J622">_xlfn.XLOOKUP(C622,Products!A:A,Products!B:D)</f>
        <v>Wireless Headphones</v>
      </c>
      <c r="I622" t="str">
        <v>Accessories</v>
      </c>
      <c r="J622">
        <v>149.99</v>
      </c>
      <c r="K622">
        <f t="shared" si="10"/>
        <v>449.97</v>
      </c>
      <c r="Q622" s="8"/>
    </row>
    <row r="623" spans="1:17" ht="14.25" customHeight="1" x14ac:dyDescent="0.3">
      <c r="A623" s="2" t="s">
        <v>671</v>
      </c>
      <c r="B623" s="2" t="s">
        <v>56</v>
      </c>
      <c r="C623" s="2" t="s">
        <v>7</v>
      </c>
      <c r="D623" s="2" t="s">
        <v>19</v>
      </c>
      <c r="E623" s="2" t="s">
        <v>24</v>
      </c>
      <c r="F623" s="2">
        <v>2</v>
      </c>
      <c r="G623" s="2" t="s">
        <v>21</v>
      </c>
      <c r="H623" t="str" cm="1">
        <f t="array" ref="H623:J623">_xlfn.XLOOKUP(C623,Products!A:A,Products!B:D)</f>
        <v>Smartphone X</v>
      </c>
      <c r="I623" t="str">
        <v>Electronics</v>
      </c>
      <c r="J623">
        <v>999.99</v>
      </c>
      <c r="K623">
        <f t="shared" si="10"/>
        <v>1999.98</v>
      </c>
      <c r="Q623" s="8"/>
    </row>
    <row r="624" spans="1:17" ht="14.25" customHeight="1" x14ac:dyDescent="0.3">
      <c r="A624" s="2" t="s">
        <v>672</v>
      </c>
      <c r="B624" s="2" t="s">
        <v>58</v>
      </c>
      <c r="C624" s="2" t="s">
        <v>23</v>
      </c>
      <c r="D624" s="2" t="s">
        <v>37</v>
      </c>
      <c r="E624" s="2" t="s">
        <v>24</v>
      </c>
      <c r="F624" s="2">
        <v>1</v>
      </c>
      <c r="G624" s="2" t="s">
        <v>21</v>
      </c>
      <c r="H624" t="str" cm="1">
        <f t="array" ref="H624:J624">_xlfn.XLOOKUP(C624,Products!A:A,Products!B:D)</f>
        <v>4K Monitor</v>
      </c>
      <c r="I624" t="str">
        <v>Electronics</v>
      </c>
      <c r="J624">
        <v>349.99</v>
      </c>
      <c r="K624">
        <f t="shared" si="10"/>
        <v>349.99</v>
      </c>
      <c r="Q624" s="8"/>
    </row>
    <row r="625" spans="1:17" ht="14.25" customHeight="1" x14ac:dyDescent="0.3">
      <c r="A625" s="2" t="s">
        <v>673</v>
      </c>
      <c r="B625" s="2" t="s">
        <v>56</v>
      </c>
      <c r="C625" s="2" t="s">
        <v>23</v>
      </c>
      <c r="D625" s="2" t="s">
        <v>29</v>
      </c>
      <c r="E625" s="2" t="s">
        <v>52</v>
      </c>
      <c r="F625" s="2">
        <v>4</v>
      </c>
      <c r="G625" s="2" t="s">
        <v>61</v>
      </c>
      <c r="H625" t="str" cm="1">
        <f t="array" ref="H625:J625">_xlfn.XLOOKUP(C625,Products!A:A,Products!B:D)</f>
        <v>4K Monitor</v>
      </c>
      <c r="I625" t="str">
        <v>Electronics</v>
      </c>
      <c r="J625">
        <v>349.99</v>
      </c>
      <c r="K625">
        <f t="shared" si="10"/>
        <v>1399.96</v>
      </c>
      <c r="Q625" s="8"/>
    </row>
    <row r="626" spans="1:17" ht="14.25" customHeight="1" x14ac:dyDescent="0.3">
      <c r="A626" s="2" t="s">
        <v>674</v>
      </c>
      <c r="B626" s="2" t="s">
        <v>54</v>
      </c>
      <c r="C626" s="2" t="s">
        <v>35</v>
      </c>
      <c r="D626" s="2" t="s">
        <v>37</v>
      </c>
      <c r="E626" s="2" t="s">
        <v>47</v>
      </c>
      <c r="F626" s="2">
        <v>5</v>
      </c>
      <c r="G626" s="2" t="s">
        <v>21</v>
      </c>
      <c r="H626" t="str" cm="1">
        <f t="array" ref="H626:J626">_xlfn.XLOOKUP(C626,Products!A:A,Products!B:D)</f>
        <v>Mechanical Keyboard</v>
      </c>
      <c r="I626" t="str">
        <v>Accessories</v>
      </c>
      <c r="J626">
        <v>89.99</v>
      </c>
      <c r="K626">
        <f t="shared" si="10"/>
        <v>449.95</v>
      </c>
      <c r="Q626" s="8"/>
    </row>
    <row r="627" spans="1:17" ht="14.25" customHeight="1" x14ac:dyDescent="0.3">
      <c r="A627" s="2" t="s">
        <v>675</v>
      </c>
      <c r="B627" s="2" t="s">
        <v>56</v>
      </c>
      <c r="C627" s="2" t="s">
        <v>38</v>
      </c>
      <c r="D627" s="2" t="s">
        <v>60</v>
      </c>
      <c r="E627" s="2" t="s">
        <v>52</v>
      </c>
      <c r="F627" s="2">
        <v>1</v>
      </c>
      <c r="G627" s="2" t="s">
        <v>21</v>
      </c>
      <c r="H627" t="str" cm="1">
        <f t="array" ref="H627:J627">_xlfn.XLOOKUP(C627,Products!A:A,Products!B:D)</f>
        <v>Gaming Mouse</v>
      </c>
      <c r="I627" t="str">
        <v>Accessories</v>
      </c>
      <c r="J627">
        <v>49.99</v>
      </c>
      <c r="K627">
        <f t="shared" si="10"/>
        <v>49.99</v>
      </c>
      <c r="Q627" s="8"/>
    </row>
    <row r="628" spans="1:17" ht="14.25" customHeight="1" x14ac:dyDescent="0.3">
      <c r="A628" s="2" t="s">
        <v>676</v>
      </c>
      <c r="B628" s="2" t="s">
        <v>34</v>
      </c>
      <c r="C628" s="2" t="s">
        <v>23</v>
      </c>
      <c r="D628" s="2" t="s">
        <v>37</v>
      </c>
      <c r="E628" s="2" t="s">
        <v>20</v>
      </c>
      <c r="F628" s="2">
        <v>3</v>
      </c>
      <c r="G628" s="2" t="s">
        <v>61</v>
      </c>
      <c r="H628" t="str" cm="1">
        <f t="array" ref="H628:J628">_xlfn.XLOOKUP(C628,Products!A:A,Products!B:D)</f>
        <v>4K Monitor</v>
      </c>
      <c r="I628" t="str">
        <v>Electronics</v>
      </c>
      <c r="J628">
        <v>349.99</v>
      </c>
      <c r="K628">
        <f t="shared" si="10"/>
        <v>1049.97</v>
      </c>
      <c r="Q628" s="8"/>
    </row>
    <row r="629" spans="1:17" ht="14.25" customHeight="1" x14ac:dyDescent="0.3">
      <c r="A629" s="2" t="s">
        <v>677</v>
      </c>
      <c r="B629" s="2" t="s">
        <v>27</v>
      </c>
      <c r="C629" s="2" t="s">
        <v>18</v>
      </c>
      <c r="D629" s="2" t="s">
        <v>37</v>
      </c>
      <c r="E629" s="2" t="s">
        <v>20</v>
      </c>
      <c r="F629" s="2">
        <v>2</v>
      </c>
      <c r="G629" s="2" t="s">
        <v>21</v>
      </c>
      <c r="H629" t="str" cm="1">
        <f t="array" ref="H629:J629">_xlfn.XLOOKUP(C629,Products!A:A,Products!B:D)</f>
        <v>Tablet Air</v>
      </c>
      <c r="I629" t="str">
        <v>Electronics</v>
      </c>
      <c r="J629">
        <v>499.99</v>
      </c>
      <c r="K629">
        <f t="shared" si="10"/>
        <v>999.98</v>
      </c>
      <c r="Q629" s="8"/>
    </row>
    <row r="630" spans="1:17" ht="14.25" customHeight="1" x14ac:dyDescent="0.3">
      <c r="A630" s="2" t="s">
        <v>678</v>
      </c>
      <c r="B630" s="2" t="s">
        <v>54</v>
      </c>
      <c r="C630" s="2" t="s">
        <v>35</v>
      </c>
      <c r="D630" s="2" t="s">
        <v>29</v>
      </c>
      <c r="E630" s="2" t="s">
        <v>52</v>
      </c>
      <c r="F630" s="2">
        <v>1</v>
      </c>
      <c r="G630" s="2" t="s">
        <v>21</v>
      </c>
      <c r="H630" t="str" cm="1">
        <f t="array" ref="H630:J630">_xlfn.XLOOKUP(C630,Products!A:A,Products!B:D)</f>
        <v>Mechanical Keyboard</v>
      </c>
      <c r="I630" t="str">
        <v>Accessories</v>
      </c>
      <c r="J630">
        <v>89.99</v>
      </c>
      <c r="K630">
        <f t="shared" si="10"/>
        <v>89.99</v>
      </c>
      <c r="Q630" s="8"/>
    </row>
    <row r="631" spans="1:17" ht="14.25" customHeight="1" x14ac:dyDescent="0.3">
      <c r="A631" s="2" t="s">
        <v>679</v>
      </c>
      <c r="B631" s="2" t="s">
        <v>54</v>
      </c>
      <c r="C631" s="2" t="s">
        <v>46</v>
      </c>
      <c r="D631" s="2" t="s">
        <v>41</v>
      </c>
      <c r="E631" s="2" t="s">
        <v>52</v>
      </c>
      <c r="F631" s="2">
        <v>3</v>
      </c>
      <c r="G631" s="2" t="s">
        <v>61</v>
      </c>
      <c r="H631" t="str" cm="1">
        <f t="array" ref="H631:J631">_xlfn.XLOOKUP(C631,Products!A:A,Products!B:D)</f>
        <v>Ergonomic Chair</v>
      </c>
      <c r="I631" t="str">
        <v>Furniture</v>
      </c>
      <c r="J631">
        <v>249.99</v>
      </c>
      <c r="K631">
        <f t="shared" si="10"/>
        <v>749.97</v>
      </c>
      <c r="Q631" s="8"/>
    </row>
    <row r="632" spans="1:17" ht="14.25" customHeight="1" x14ac:dyDescent="0.3">
      <c r="A632" s="2" t="s">
        <v>680</v>
      </c>
      <c r="B632" s="2" t="s">
        <v>27</v>
      </c>
      <c r="C632" s="2" t="s">
        <v>38</v>
      </c>
      <c r="D632" s="2" t="s">
        <v>37</v>
      </c>
      <c r="E632" s="2" t="s">
        <v>52</v>
      </c>
      <c r="F632" s="2">
        <v>3</v>
      </c>
      <c r="G632" s="2" t="s">
        <v>25</v>
      </c>
      <c r="H632" t="str" cm="1">
        <f t="array" ref="H632:J632">_xlfn.XLOOKUP(C632,Products!A:A,Products!B:D)</f>
        <v>Gaming Mouse</v>
      </c>
      <c r="I632" t="str">
        <v>Accessories</v>
      </c>
      <c r="J632">
        <v>49.99</v>
      </c>
      <c r="K632">
        <f t="shared" si="10"/>
        <v>0</v>
      </c>
      <c r="Q632" s="8"/>
    </row>
    <row r="633" spans="1:17" ht="14.25" customHeight="1" x14ac:dyDescent="0.3">
      <c r="A633" s="2" t="s">
        <v>681</v>
      </c>
      <c r="B633" s="2" t="s">
        <v>56</v>
      </c>
      <c r="C633" s="2" t="s">
        <v>46</v>
      </c>
      <c r="D633" s="2" t="s">
        <v>41</v>
      </c>
      <c r="E633" s="2" t="s">
        <v>47</v>
      </c>
      <c r="F633" s="2">
        <v>3</v>
      </c>
      <c r="G633" s="2" t="s">
        <v>25</v>
      </c>
      <c r="H633" t="str" cm="1">
        <f t="array" ref="H633:J633">_xlfn.XLOOKUP(C633,Products!A:A,Products!B:D)</f>
        <v>Ergonomic Chair</v>
      </c>
      <c r="I633" t="str">
        <v>Furniture</v>
      </c>
      <c r="J633">
        <v>249.99</v>
      </c>
      <c r="K633">
        <f t="shared" si="10"/>
        <v>0</v>
      </c>
      <c r="Q633" s="8"/>
    </row>
    <row r="634" spans="1:17" ht="14.25" customHeight="1" x14ac:dyDescent="0.3">
      <c r="A634" s="2" t="s">
        <v>682</v>
      </c>
      <c r="B634" s="2" t="s">
        <v>56</v>
      </c>
      <c r="C634" s="2" t="s">
        <v>23</v>
      </c>
      <c r="D634" s="2" t="s">
        <v>37</v>
      </c>
      <c r="E634" s="2" t="s">
        <v>24</v>
      </c>
      <c r="F634" s="2">
        <v>2</v>
      </c>
      <c r="G634" s="2" t="s">
        <v>21</v>
      </c>
      <c r="H634" t="str" cm="1">
        <f t="array" ref="H634:J634">_xlfn.XLOOKUP(C634,Products!A:A,Products!B:D)</f>
        <v>4K Monitor</v>
      </c>
      <c r="I634" t="str">
        <v>Electronics</v>
      </c>
      <c r="J634">
        <v>349.99</v>
      </c>
      <c r="K634">
        <f t="shared" si="10"/>
        <v>699.98</v>
      </c>
      <c r="Q634" s="8"/>
    </row>
    <row r="635" spans="1:17" ht="14.25" customHeight="1" x14ac:dyDescent="0.3">
      <c r="A635" s="2" t="s">
        <v>683</v>
      </c>
      <c r="B635" s="2" t="s">
        <v>34</v>
      </c>
      <c r="C635" s="2" t="s">
        <v>43</v>
      </c>
      <c r="D635" s="2" t="s">
        <v>19</v>
      </c>
      <c r="E635" s="2" t="s">
        <v>47</v>
      </c>
      <c r="F635" s="2">
        <v>4</v>
      </c>
      <c r="G635" s="2" t="s">
        <v>21</v>
      </c>
      <c r="H635" t="str" cm="1">
        <f t="array" ref="H635:J635">_xlfn.XLOOKUP(C635,Products!A:A,Products!B:D)</f>
        <v>Bluetooth Speaker</v>
      </c>
      <c r="I635" t="str">
        <v>Accessories</v>
      </c>
      <c r="J635">
        <v>79.989999999999995</v>
      </c>
      <c r="K635">
        <f t="shared" si="10"/>
        <v>319.95999999999998</v>
      </c>
      <c r="Q635" s="8"/>
    </row>
    <row r="636" spans="1:17" ht="14.25" customHeight="1" x14ac:dyDescent="0.3">
      <c r="A636" s="2" t="s">
        <v>684</v>
      </c>
      <c r="B636" s="2" t="s">
        <v>54</v>
      </c>
      <c r="C636" s="2" t="s">
        <v>30</v>
      </c>
      <c r="D636" s="2" t="s">
        <v>41</v>
      </c>
      <c r="E636" s="2" t="s">
        <v>47</v>
      </c>
      <c r="F636" s="2">
        <v>2</v>
      </c>
      <c r="G636" s="2" t="s">
        <v>21</v>
      </c>
      <c r="H636" t="str" cm="1">
        <f t="array" ref="H636:J636">_xlfn.XLOOKUP(C636,Products!A:A,Products!B:D)</f>
        <v>Wireless Headphones</v>
      </c>
      <c r="I636" t="str">
        <v>Accessories</v>
      </c>
      <c r="J636">
        <v>149.99</v>
      </c>
      <c r="K636">
        <f t="shared" si="10"/>
        <v>299.98</v>
      </c>
      <c r="Q636" s="8"/>
    </row>
    <row r="637" spans="1:17" ht="14.25" customHeight="1" x14ac:dyDescent="0.3">
      <c r="A637" s="2" t="s">
        <v>685</v>
      </c>
      <c r="B637" s="2" t="s">
        <v>56</v>
      </c>
      <c r="C637" s="2" t="s">
        <v>7</v>
      </c>
      <c r="D637" s="2" t="s">
        <v>37</v>
      </c>
      <c r="E637" s="2" t="s">
        <v>52</v>
      </c>
      <c r="F637" s="2">
        <v>3</v>
      </c>
      <c r="G637" s="2" t="s">
        <v>21</v>
      </c>
      <c r="H637" t="str" cm="1">
        <f t="array" ref="H637:J637">_xlfn.XLOOKUP(C637,Products!A:A,Products!B:D)</f>
        <v>Smartphone X</v>
      </c>
      <c r="I637" t="str">
        <v>Electronics</v>
      </c>
      <c r="J637">
        <v>999.99</v>
      </c>
      <c r="K637">
        <f t="shared" si="10"/>
        <v>2999.9700000000003</v>
      </c>
      <c r="Q637" s="8"/>
    </row>
    <row r="638" spans="1:17" ht="14.25" customHeight="1" x14ac:dyDescent="0.3">
      <c r="A638" s="2" t="s">
        <v>686</v>
      </c>
      <c r="B638" s="2" t="s">
        <v>56</v>
      </c>
      <c r="C638" s="2" t="s">
        <v>18</v>
      </c>
      <c r="D638" s="2" t="s">
        <v>19</v>
      </c>
      <c r="E638" s="2" t="s">
        <v>52</v>
      </c>
      <c r="F638" s="2">
        <v>4</v>
      </c>
      <c r="G638" s="2" t="s">
        <v>21</v>
      </c>
      <c r="H638" t="str" cm="1">
        <f t="array" ref="H638:J638">_xlfn.XLOOKUP(C638,Products!A:A,Products!B:D)</f>
        <v>Tablet Air</v>
      </c>
      <c r="I638" t="str">
        <v>Electronics</v>
      </c>
      <c r="J638">
        <v>499.99</v>
      </c>
      <c r="K638">
        <f t="shared" si="10"/>
        <v>1999.96</v>
      </c>
      <c r="Q638" s="8"/>
    </row>
    <row r="639" spans="1:17" ht="14.25" customHeight="1" x14ac:dyDescent="0.3">
      <c r="A639" s="2" t="s">
        <v>687</v>
      </c>
      <c r="B639" s="2" t="s">
        <v>34</v>
      </c>
      <c r="C639" s="2" t="s">
        <v>7</v>
      </c>
      <c r="D639" s="2" t="s">
        <v>60</v>
      </c>
      <c r="E639" s="2" t="s">
        <v>47</v>
      </c>
      <c r="F639" s="2">
        <v>5</v>
      </c>
      <c r="G639" s="2" t="s">
        <v>21</v>
      </c>
      <c r="H639" t="str" cm="1">
        <f t="array" ref="H639:J639">_xlfn.XLOOKUP(C639,Products!A:A,Products!B:D)</f>
        <v>Smartphone X</v>
      </c>
      <c r="I639" t="str">
        <v>Electronics</v>
      </c>
      <c r="J639">
        <v>999.99</v>
      </c>
      <c r="K639">
        <f t="shared" si="10"/>
        <v>4999.95</v>
      </c>
      <c r="Q639" s="8"/>
    </row>
    <row r="640" spans="1:17" ht="14.25" customHeight="1" x14ac:dyDescent="0.3">
      <c r="A640" s="2" t="s">
        <v>688</v>
      </c>
      <c r="B640" s="2" t="s">
        <v>34</v>
      </c>
      <c r="C640" s="2" t="s">
        <v>23</v>
      </c>
      <c r="D640" s="2" t="s">
        <v>60</v>
      </c>
      <c r="E640" s="2" t="s">
        <v>47</v>
      </c>
      <c r="F640" s="2">
        <v>5</v>
      </c>
      <c r="G640" s="2" t="s">
        <v>25</v>
      </c>
      <c r="H640" t="str" cm="1">
        <f t="array" ref="H640:J640">_xlfn.XLOOKUP(C640,Products!A:A,Products!B:D)</f>
        <v>4K Monitor</v>
      </c>
      <c r="I640" t="str">
        <v>Electronics</v>
      </c>
      <c r="J640">
        <v>349.99</v>
      </c>
      <c r="K640">
        <f t="shared" si="10"/>
        <v>0</v>
      </c>
      <c r="Q640" s="8"/>
    </row>
    <row r="641" spans="1:17" ht="14.25" customHeight="1" x14ac:dyDescent="0.3">
      <c r="A641" s="2" t="s">
        <v>689</v>
      </c>
      <c r="B641" s="2" t="s">
        <v>27</v>
      </c>
      <c r="C641" s="2" t="s">
        <v>38</v>
      </c>
      <c r="D641" s="2" t="s">
        <v>37</v>
      </c>
      <c r="E641" s="2" t="s">
        <v>20</v>
      </c>
      <c r="F641" s="2">
        <v>2</v>
      </c>
      <c r="G641" s="2" t="s">
        <v>21</v>
      </c>
      <c r="H641" t="str" cm="1">
        <f t="array" ref="H641:J641">_xlfn.XLOOKUP(C641,Products!A:A,Products!B:D)</f>
        <v>Gaming Mouse</v>
      </c>
      <c r="I641" t="str">
        <v>Accessories</v>
      </c>
      <c r="J641">
        <v>49.99</v>
      </c>
      <c r="K641">
        <f t="shared" si="10"/>
        <v>99.98</v>
      </c>
      <c r="Q641" s="8"/>
    </row>
    <row r="642" spans="1:17" ht="14.25" customHeight="1" x14ac:dyDescent="0.3">
      <c r="A642" s="2" t="s">
        <v>690</v>
      </c>
      <c r="B642" s="2" t="s">
        <v>27</v>
      </c>
      <c r="C642" s="2" t="s">
        <v>46</v>
      </c>
      <c r="D642" s="2" t="s">
        <v>37</v>
      </c>
      <c r="E642" s="2" t="s">
        <v>52</v>
      </c>
      <c r="F642" s="2">
        <v>4</v>
      </c>
      <c r="G642" s="2" t="s">
        <v>21</v>
      </c>
      <c r="H642" t="str" cm="1">
        <f t="array" ref="H642:J642">_xlfn.XLOOKUP(C642,Products!A:A,Products!B:D)</f>
        <v>Ergonomic Chair</v>
      </c>
      <c r="I642" t="str">
        <v>Furniture</v>
      </c>
      <c r="J642">
        <v>249.99</v>
      </c>
      <c r="K642">
        <f t="shared" si="10"/>
        <v>999.96</v>
      </c>
      <c r="Q642" s="8"/>
    </row>
    <row r="643" spans="1:17" ht="14.25" customHeight="1" x14ac:dyDescent="0.3">
      <c r="A643" s="2" t="s">
        <v>691</v>
      </c>
      <c r="B643" s="2" t="s">
        <v>17</v>
      </c>
      <c r="C643" s="2" t="s">
        <v>7</v>
      </c>
      <c r="D643" s="2" t="s">
        <v>60</v>
      </c>
      <c r="E643" s="2" t="s">
        <v>47</v>
      </c>
      <c r="F643" s="2">
        <v>2</v>
      </c>
      <c r="G643" s="2" t="s">
        <v>21</v>
      </c>
      <c r="H643" t="str" cm="1">
        <f t="array" ref="H643:J643">_xlfn.XLOOKUP(C643,Products!A:A,Products!B:D)</f>
        <v>Smartphone X</v>
      </c>
      <c r="I643" t="str">
        <v>Electronics</v>
      </c>
      <c r="J643">
        <v>999.99</v>
      </c>
      <c r="K643">
        <f t="shared" ref="K643:K706" si="11">IF(G643="Cancelled", 0, F643*J643)</f>
        <v>1999.98</v>
      </c>
      <c r="Q643" s="8"/>
    </row>
    <row r="644" spans="1:17" ht="14.25" customHeight="1" x14ac:dyDescent="0.3">
      <c r="A644" s="2" t="s">
        <v>692</v>
      </c>
      <c r="B644" s="2" t="s">
        <v>58</v>
      </c>
      <c r="C644" s="2" t="s">
        <v>7</v>
      </c>
      <c r="D644" s="2" t="s">
        <v>60</v>
      </c>
      <c r="E644" s="2" t="s">
        <v>52</v>
      </c>
      <c r="F644" s="2">
        <v>1</v>
      </c>
      <c r="G644" s="2" t="s">
        <v>21</v>
      </c>
      <c r="H644" t="str" cm="1">
        <f t="array" ref="H644:J644">_xlfn.XLOOKUP(C644,Products!A:A,Products!B:D)</f>
        <v>Smartphone X</v>
      </c>
      <c r="I644" t="str">
        <v>Electronics</v>
      </c>
      <c r="J644">
        <v>999.99</v>
      </c>
      <c r="K644">
        <f t="shared" si="11"/>
        <v>999.99</v>
      </c>
      <c r="Q644" s="8"/>
    </row>
    <row r="645" spans="1:17" ht="14.25" customHeight="1" x14ac:dyDescent="0.3">
      <c r="A645" s="2" t="s">
        <v>693</v>
      </c>
      <c r="B645" s="2" t="s">
        <v>17</v>
      </c>
      <c r="C645" s="2" t="s">
        <v>46</v>
      </c>
      <c r="D645" s="2" t="s">
        <v>41</v>
      </c>
      <c r="E645" s="2" t="s">
        <v>20</v>
      </c>
      <c r="F645" s="2">
        <v>3</v>
      </c>
      <c r="G645" s="2" t="s">
        <v>21</v>
      </c>
      <c r="H645" t="str" cm="1">
        <f t="array" ref="H645:J645">_xlfn.XLOOKUP(C645,Products!A:A,Products!B:D)</f>
        <v>Ergonomic Chair</v>
      </c>
      <c r="I645" t="str">
        <v>Furniture</v>
      </c>
      <c r="J645">
        <v>249.99</v>
      </c>
      <c r="K645">
        <f t="shared" si="11"/>
        <v>749.97</v>
      </c>
      <c r="Q645" s="8"/>
    </row>
    <row r="646" spans="1:17" ht="14.25" customHeight="1" x14ac:dyDescent="0.3">
      <c r="A646" s="2" t="s">
        <v>694</v>
      </c>
      <c r="B646" s="2" t="s">
        <v>34</v>
      </c>
      <c r="C646" s="2" t="s">
        <v>30</v>
      </c>
      <c r="D646" s="2" t="s">
        <v>41</v>
      </c>
      <c r="E646" s="2" t="s">
        <v>20</v>
      </c>
      <c r="F646" s="2">
        <v>2</v>
      </c>
      <c r="G646" s="2" t="s">
        <v>25</v>
      </c>
      <c r="H646" t="str" cm="1">
        <f t="array" ref="H646:J646">_xlfn.XLOOKUP(C646,Products!A:A,Products!B:D)</f>
        <v>Wireless Headphones</v>
      </c>
      <c r="I646" t="str">
        <v>Accessories</v>
      </c>
      <c r="J646">
        <v>149.99</v>
      </c>
      <c r="K646">
        <f t="shared" si="11"/>
        <v>0</v>
      </c>
      <c r="Q646" s="8"/>
    </row>
    <row r="647" spans="1:17" ht="14.25" customHeight="1" x14ac:dyDescent="0.3">
      <c r="A647" s="2" t="s">
        <v>695</v>
      </c>
      <c r="B647" s="2" t="s">
        <v>54</v>
      </c>
      <c r="C647" s="2" t="s">
        <v>30</v>
      </c>
      <c r="D647" s="2" t="s">
        <v>41</v>
      </c>
      <c r="E647" s="2" t="s">
        <v>20</v>
      </c>
      <c r="F647" s="2">
        <v>5</v>
      </c>
      <c r="G647" s="2" t="s">
        <v>21</v>
      </c>
      <c r="H647" t="str" cm="1">
        <f t="array" ref="H647:J647">_xlfn.XLOOKUP(C647,Products!A:A,Products!B:D)</f>
        <v>Wireless Headphones</v>
      </c>
      <c r="I647" t="str">
        <v>Accessories</v>
      </c>
      <c r="J647">
        <v>149.99</v>
      </c>
      <c r="K647">
        <f t="shared" si="11"/>
        <v>749.95</v>
      </c>
      <c r="Q647" s="8"/>
    </row>
    <row r="648" spans="1:17" ht="14.25" customHeight="1" x14ac:dyDescent="0.3">
      <c r="A648" s="2" t="s">
        <v>696</v>
      </c>
      <c r="B648" s="2" t="s">
        <v>34</v>
      </c>
      <c r="C648" s="2" t="s">
        <v>38</v>
      </c>
      <c r="D648" s="2" t="s">
        <v>19</v>
      </c>
      <c r="E648" s="2" t="s">
        <v>47</v>
      </c>
      <c r="F648" s="2">
        <v>3</v>
      </c>
      <c r="G648" s="2" t="s">
        <v>61</v>
      </c>
      <c r="H648" t="str" cm="1">
        <f t="array" ref="H648:J648">_xlfn.XLOOKUP(C648,Products!A:A,Products!B:D)</f>
        <v>Gaming Mouse</v>
      </c>
      <c r="I648" t="str">
        <v>Accessories</v>
      </c>
      <c r="J648">
        <v>49.99</v>
      </c>
      <c r="K648">
        <f t="shared" si="11"/>
        <v>149.97</v>
      </c>
      <c r="Q648" s="8"/>
    </row>
    <row r="649" spans="1:17" ht="14.25" customHeight="1" x14ac:dyDescent="0.3">
      <c r="A649" s="2" t="s">
        <v>697</v>
      </c>
      <c r="B649" s="2" t="s">
        <v>58</v>
      </c>
      <c r="C649" s="2" t="s">
        <v>43</v>
      </c>
      <c r="D649" s="2" t="s">
        <v>37</v>
      </c>
      <c r="E649" s="2" t="s">
        <v>47</v>
      </c>
      <c r="F649" s="2">
        <v>5</v>
      </c>
      <c r="G649" s="2" t="s">
        <v>61</v>
      </c>
      <c r="H649" t="str" cm="1">
        <f t="array" ref="H649:J649">_xlfn.XLOOKUP(C649,Products!A:A,Products!B:D)</f>
        <v>Bluetooth Speaker</v>
      </c>
      <c r="I649" t="str">
        <v>Accessories</v>
      </c>
      <c r="J649">
        <v>79.989999999999995</v>
      </c>
      <c r="K649">
        <f t="shared" si="11"/>
        <v>399.95</v>
      </c>
      <c r="Q649" s="8"/>
    </row>
    <row r="650" spans="1:17" ht="14.25" customHeight="1" x14ac:dyDescent="0.3">
      <c r="A650" s="2" t="s">
        <v>698</v>
      </c>
      <c r="B650" s="2" t="s">
        <v>56</v>
      </c>
      <c r="C650" s="2" t="s">
        <v>23</v>
      </c>
      <c r="D650" s="2" t="s">
        <v>19</v>
      </c>
      <c r="E650" s="2" t="s">
        <v>47</v>
      </c>
      <c r="F650" s="2">
        <v>2</v>
      </c>
      <c r="G650" s="2" t="s">
        <v>21</v>
      </c>
      <c r="H650" t="str" cm="1">
        <f t="array" ref="H650:J650">_xlfn.XLOOKUP(C650,Products!A:A,Products!B:D)</f>
        <v>4K Monitor</v>
      </c>
      <c r="I650" t="str">
        <v>Electronics</v>
      </c>
      <c r="J650">
        <v>349.99</v>
      </c>
      <c r="K650">
        <f t="shared" si="11"/>
        <v>699.98</v>
      </c>
      <c r="Q650" s="8"/>
    </row>
    <row r="651" spans="1:17" ht="14.25" customHeight="1" x14ac:dyDescent="0.3">
      <c r="A651" s="2" t="s">
        <v>699</v>
      </c>
      <c r="B651" s="2" t="s">
        <v>54</v>
      </c>
      <c r="C651" s="2" t="s">
        <v>7</v>
      </c>
      <c r="D651" s="2" t="s">
        <v>37</v>
      </c>
      <c r="E651" s="2" t="s">
        <v>52</v>
      </c>
      <c r="F651" s="2">
        <v>2</v>
      </c>
      <c r="G651" s="2" t="s">
        <v>21</v>
      </c>
      <c r="H651" t="str" cm="1">
        <f t="array" ref="H651:J651">_xlfn.XLOOKUP(C651,Products!A:A,Products!B:D)</f>
        <v>Smartphone X</v>
      </c>
      <c r="I651" t="str">
        <v>Electronics</v>
      </c>
      <c r="J651">
        <v>999.99</v>
      </c>
      <c r="K651">
        <f t="shared" si="11"/>
        <v>1999.98</v>
      </c>
      <c r="Q651" s="8"/>
    </row>
    <row r="652" spans="1:17" ht="14.25" customHeight="1" x14ac:dyDescent="0.3">
      <c r="A652" s="2" t="s">
        <v>700</v>
      </c>
      <c r="B652" s="2" t="s">
        <v>17</v>
      </c>
      <c r="C652" s="2" t="s">
        <v>35</v>
      </c>
      <c r="D652" s="2" t="s">
        <v>19</v>
      </c>
      <c r="E652" s="2" t="s">
        <v>24</v>
      </c>
      <c r="F652" s="2">
        <v>5</v>
      </c>
      <c r="G652" s="2" t="s">
        <v>21</v>
      </c>
      <c r="H652" t="str" cm="1">
        <f t="array" ref="H652:J652">_xlfn.XLOOKUP(C652,Products!A:A,Products!B:D)</f>
        <v>Mechanical Keyboard</v>
      </c>
      <c r="I652" t="str">
        <v>Accessories</v>
      </c>
      <c r="J652">
        <v>89.99</v>
      </c>
      <c r="K652">
        <f t="shared" si="11"/>
        <v>449.95</v>
      </c>
      <c r="Q652" s="8"/>
    </row>
    <row r="653" spans="1:17" ht="14.25" customHeight="1" x14ac:dyDescent="0.3">
      <c r="A653" s="2" t="s">
        <v>701</v>
      </c>
      <c r="B653" s="2" t="s">
        <v>54</v>
      </c>
      <c r="C653" s="2" t="s">
        <v>38</v>
      </c>
      <c r="D653" s="2" t="s">
        <v>19</v>
      </c>
      <c r="E653" s="2" t="s">
        <v>47</v>
      </c>
      <c r="F653" s="2">
        <v>1</v>
      </c>
      <c r="G653" s="2" t="s">
        <v>21</v>
      </c>
      <c r="H653" t="str" cm="1">
        <f t="array" ref="H653:J653">_xlfn.XLOOKUP(C653,Products!A:A,Products!B:D)</f>
        <v>Gaming Mouse</v>
      </c>
      <c r="I653" t="str">
        <v>Accessories</v>
      </c>
      <c r="J653">
        <v>49.99</v>
      </c>
      <c r="K653">
        <f t="shared" si="11"/>
        <v>49.99</v>
      </c>
      <c r="Q653" s="8"/>
    </row>
    <row r="654" spans="1:17" ht="14.25" customHeight="1" x14ac:dyDescent="0.3">
      <c r="A654" s="2" t="s">
        <v>702</v>
      </c>
      <c r="B654" s="2" t="s">
        <v>58</v>
      </c>
      <c r="C654" s="2" t="s">
        <v>46</v>
      </c>
      <c r="D654" s="2" t="s">
        <v>41</v>
      </c>
      <c r="E654" s="2" t="s">
        <v>20</v>
      </c>
      <c r="F654" s="2">
        <v>2</v>
      </c>
      <c r="G654" s="2" t="s">
        <v>21</v>
      </c>
      <c r="H654" t="str" cm="1">
        <f t="array" ref="H654:J654">_xlfn.XLOOKUP(C654,Products!A:A,Products!B:D)</f>
        <v>Ergonomic Chair</v>
      </c>
      <c r="I654" t="str">
        <v>Furniture</v>
      </c>
      <c r="J654">
        <v>249.99</v>
      </c>
      <c r="K654">
        <f t="shared" si="11"/>
        <v>499.98</v>
      </c>
      <c r="Q654" s="8"/>
    </row>
    <row r="655" spans="1:17" ht="14.25" customHeight="1" x14ac:dyDescent="0.3">
      <c r="A655" s="2" t="s">
        <v>703</v>
      </c>
      <c r="B655" s="2" t="s">
        <v>54</v>
      </c>
      <c r="C655" s="2" t="s">
        <v>43</v>
      </c>
      <c r="D655" s="2" t="s">
        <v>37</v>
      </c>
      <c r="E655" s="2" t="s">
        <v>47</v>
      </c>
      <c r="F655" s="2">
        <v>2</v>
      </c>
      <c r="G655" s="2" t="s">
        <v>25</v>
      </c>
      <c r="H655" t="str" cm="1">
        <f t="array" ref="H655:J655">_xlfn.XLOOKUP(C655,Products!A:A,Products!B:D)</f>
        <v>Bluetooth Speaker</v>
      </c>
      <c r="I655" t="str">
        <v>Accessories</v>
      </c>
      <c r="J655">
        <v>79.989999999999995</v>
      </c>
      <c r="K655">
        <f t="shared" si="11"/>
        <v>0</v>
      </c>
      <c r="Q655" s="8"/>
    </row>
    <row r="656" spans="1:17" ht="14.25" customHeight="1" x14ac:dyDescent="0.3">
      <c r="A656" s="2" t="s">
        <v>704</v>
      </c>
      <c r="B656" s="2" t="s">
        <v>56</v>
      </c>
      <c r="C656" s="2" t="s">
        <v>7</v>
      </c>
      <c r="D656" s="2" t="s">
        <v>29</v>
      </c>
      <c r="E656" s="2" t="s">
        <v>47</v>
      </c>
      <c r="F656" s="2">
        <v>2</v>
      </c>
      <c r="G656" s="2" t="s">
        <v>21</v>
      </c>
      <c r="H656" t="str" cm="1">
        <f t="array" ref="H656:J656">_xlfn.XLOOKUP(C656,Products!A:A,Products!B:D)</f>
        <v>Smartphone X</v>
      </c>
      <c r="I656" t="str">
        <v>Electronics</v>
      </c>
      <c r="J656">
        <v>999.99</v>
      </c>
      <c r="K656">
        <f t="shared" si="11"/>
        <v>1999.98</v>
      </c>
      <c r="Q656" s="8"/>
    </row>
    <row r="657" spans="1:17" ht="14.25" customHeight="1" x14ac:dyDescent="0.3">
      <c r="A657" s="2" t="s">
        <v>705</v>
      </c>
      <c r="B657" s="2" t="s">
        <v>17</v>
      </c>
      <c r="C657" s="2" t="s">
        <v>35</v>
      </c>
      <c r="D657" s="2" t="s">
        <v>41</v>
      </c>
      <c r="E657" s="2" t="s">
        <v>20</v>
      </c>
      <c r="F657" s="2">
        <v>3</v>
      </c>
      <c r="G657" s="2" t="s">
        <v>61</v>
      </c>
      <c r="H657" t="str" cm="1">
        <f t="array" ref="H657:J657">_xlfn.XLOOKUP(C657,Products!A:A,Products!B:D)</f>
        <v>Mechanical Keyboard</v>
      </c>
      <c r="I657" t="str">
        <v>Accessories</v>
      </c>
      <c r="J657">
        <v>89.99</v>
      </c>
      <c r="K657">
        <f t="shared" si="11"/>
        <v>269.96999999999997</v>
      </c>
      <c r="Q657" s="8"/>
    </row>
    <row r="658" spans="1:17" ht="14.25" customHeight="1" x14ac:dyDescent="0.3">
      <c r="A658" s="2" t="s">
        <v>706</v>
      </c>
      <c r="B658" s="2" t="s">
        <v>58</v>
      </c>
      <c r="C658" s="2" t="s">
        <v>18</v>
      </c>
      <c r="D658" s="2" t="s">
        <v>19</v>
      </c>
      <c r="E658" s="2" t="s">
        <v>52</v>
      </c>
      <c r="F658" s="2">
        <v>1</v>
      </c>
      <c r="G658" s="2" t="s">
        <v>61</v>
      </c>
      <c r="H658" t="str" cm="1">
        <f t="array" ref="H658:J658">_xlfn.XLOOKUP(C658,Products!A:A,Products!B:D)</f>
        <v>Tablet Air</v>
      </c>
      <c r="I658" t="str">
        <v>Electronics</v>
      </c>
      <c r="J658">
        <v>499.99</v>
      </c>
      <c r="K658">
        <f t="shared" si="11"/>
        <v>499.99</v>
      </c>
      <c r="Q658" s="8"/>
    </row>
    <row r="659" spans="1:17" ht="14.25" customHeight="1" x14ac:dyDescent="0.3">
      <c r="A659" s="2" t="s">
        <v>707</v>
      </c>
      <c r="B659" s="2" t="s">
        <v>17</v>
      </c>
      <c r="C659" s="2" t="s">
        <v>46</v>
      </c>
      <c r="D659" s="2" t="s">
        <v>37</v>
      </c>
      <c r="E659" s="2" t="s">
        <v>52</v>
      </c>
      <c r="F659" s="2">
        <v>5</v>
      </c>
      <c r="G659" s="2" t="s">
        <v>21</v>
      </c>
      <c r="H659" t="str" cm="1">
        <f t="array" ref="H659:J659">_xlfn.XLOOKUP(C659,Products!A:A,Products!B:D)</f>
        <v>Ergonomic Chair</v>
      </c>
      <c r="I659" t="str">
        <v>Furniture</v>
      </c>
      <c r="J659">
        <v>249.99</v>
      </c>
      <c r="K659">
        <f t="shared" si="11"/>
        <v>1249.95</v>
      </c>
      <c r="Q659" s="8"/>
    </row>
    <row r="660" spans="1:17" ht="14.25" customHeight="1" x14ac:dyDescent="0.3">
      <c r="A660" s="2" t="s">
        <v>708</v>
      </c>
      <c r="B660" s="2" t="s">
        <v>17</v>
      </c>
      <c r="C660" s="2" t="s">
        <v>30</v>
      </c>
      <c r="D660" s="2" t="s">
        <v>60</v>
      </c>
      <c r="E660" s="2" t="s">
        <v>20</v>
      </c>
      <c r="F660" s="2">
        <v>5</v>
      </c>
      <c r="G660" s="2" t="s">
        <v>61</v>
      </c>
      <c r="H660" t="str" cm="1">
        <f t="array" ref="H660:J660">_xlfn.XLOOKUP(C660,Products!A:A,Products!B:D)</f>
        <v>Wireless Headphones</v>
      </c>
      <c r="I660" t="str">
        <v>Accessories</v>
      </c>
      <c r="J660">
        <v>149.99</v>
      </c>
      <c r="K660">
        <f t="shared" si="11"/>
        <v>749.95</v>
      </c>
      <c r="Q660" s="8"/>
    </row>
    <row r="661" spans="1:17" ht="14.25" customHeight="1" x14ac:dyDescent="0.3">
      <c r="A661" s="2" t="s">
        <v>709</v>
      </c>
      <c r="B661" s="2" t="s">
        <v>56</v>
      </c>
      <c r="C661" s="2" t="s">
        <v>35</v>
      </c>
      <c r="D661" s="2" t="s">
        <v>29</v>
      </c>
      <c r="E661" s="2" t="s">
        <v>24</v>
      </c>
      <c r="F661" s="2">
        <v>4</v>
      </c>
      <c r="G661" s="2" t="s">
        <v>25</v>
      </c>
      <c r="H661" t="str" cm="1">
        <f t="array" ref="H661:J661">_xlfn.XLOOKUP(C661,Products!A:A,Products!B:D)</f>
        <v>Mechanical Keyboard</v>
      </c>
      <c r="I661" t="str">
        <v>Accessories</v>
      </c>
      <c r="J661">
        <v>89.99</v>
      </c>
      <c r="K661">
        <f t="shared" si="11"/>
        <v>0</v>
      </c>
      <c r="Q661" s="8"/>
    </row>
    <row r="662" spans="1:17" ht="14.25" customHeight="1" x14ac:dyDescent="0.3">
      <c r="A662" s="2" t="s">
        <v>710</v>
      </c>
      <c r="B662" s="2" t="s">
        <v>34</v>
      </c>
      <c r="C662" s="2" t="s">
        <v>30</v>
      </c>
      <c r="D662" s="2" t="s">
        <v>19</v>
      </c>
      <c r="E662" s="2" t="s">
        <v>24</v>
      </c>
      <c r="F662" s="2">
        <v>3</v>
      </c>
      <c r="G662" s="2" t="s">
        <v>61</v>
      </c>
      <c r="H662" t="str" cm="1">
        <f t="array" ref="H662:J662">_xlfn.XLOOKUP(C662,Products!A:A,Products!B:D)</f>
        <v>Wireless Headphones</v>
      </c>
      <c r="I662" t="str">
        <v>Accessories</v>
      </c>
      <c r="J662">
        <v>149.99</v>
      </c>
      <c r="K662">
        <f t="shared" si="11"/>
        <v>449.97</v>
      </c>
      <c r="Q662" s="8"/>
    </row>
    <row r="663" spans="1:17" ht="14.25" customHeight="1" x14ac:dyDescent="0.3">
      <c r="A663" s="2" t="s">
        <v>711</v>
      </c>
      <c r="B663" s="2" t="s">
        <v>27</v>
      </c>
      <c r="C663" s="2" t="s">
        <v>46</v>
      </c>
      <c r="D663" s="2" t="s">
        <v>29</v>
      </c>
      <c r="E663" s="2" t="s">
        <v>20</v>
      </c>
      <c r="F663" s="2">
        <v>4</v>
      </c>
      <c r="G663" s="2" t="s">
        <v>61</v>
      </c>
      <c r="H663" t="str" cm="1">
        <f t="array" ref="H663:J663">_xlfn.XLOOKUP(C663,Products!A:A,Products!B:D)</f>
        <v>Ergonomic Chair</v>
      </c>
      <c r="I663" t="str">
        <v>Furniture</v>
      </c>
      <c r="J663">
        <v>249.99</v>
      </c>
      <c r="K663">
        <f t="shared" si="11"/>
        <v>999.96</v>
      </c>
      <c r="Q663" s="8"/>
    </row>
    <row r="664" spans="1:17" ht="14.25" customHeight="1" x14ac:dyDescent="0.3">
      <c r="A664" s="2" t="s">
        <v>712</v>
      </c>
      <c r="B664" s="2" t="s">
        <v>34</v>
      </c>
      <c r="C664" s="2" t="s">
        <v>23</v>
      </c>
      <c r="D664" s="2" t="s">
        <v>37</v>
      </c>
      <c r="E664" s="2" t="s">
        <v>24</v>
      </c>
      <c r="F664" s="2">
        <v>1</v>
      </c>
      <c r="G664" s="2" t="s">
        <v>21</v>
      </c>
      <c r="H664" t="str" cm="1">
        <f t="array" ref="H664:J664">_xlfn.XLOOKUP(C664,Products!A:A,Products!B:D)</f>
        <v>4K Monitor</v>
      </c>
      <c r="I664" t="str">
        <v>Electronics</v>
      </c>
      <c r="J664">
        <v>349.99</v>
      </c>
      <c r="K664">
        <f t="shared" si="11"/>
        <v>349.99</v>
      </c>
      <c r="Q664" s="8"/>
    </row>
    <row r="665" spans="1:17" ht="14.25" customHeight="1" x14ac:dyDescent="0.3">
      <c r="A665" s="2" t="s">
        <v>713</v>
      </c>
      <c r="B665" s="2" t="s">
        <v>58</v>
      </c>
      <c r="C665" s="2" t="s">
        <v>18</v>
      </c>
      <c r="D665" s="2" t="s">
        <v>19</v>
      </c>
      <c r="E665" s="2" t="s">
        <v>47</v>
      </c>
      <c r="F665" s="2">
        <v>4</v>
      </c>
      <c r="G665" s="2" t="s">
        <v>21</v>
      </c>
      <c r="H665" t="str" cm="1">
        <f t="array" ref="H665:J665">_xlfn.XLOOKUP(C665,Products!A:A,Products!B:D)</f>
        <v>Tablet Air</v>
      </c>
      <c r="I665" t="str">
        <v>Electronics</v>
      </c>
      <c r="J665">
        <v>499.99</v>
      </c>
      <c r="K665">
        <f t="shared" si="11"/>
        <v>1999.96</v>
      </c>
      <c r="Q665" s="8"/>
    </row>
    <row r="666" spans="1:17" ht="14.25" customHeight="1" x14ac:dyDescent="0.3">
      <c r="A666" s="2" t="s">
        <v>714</v>
      </c>
      <c r="B666" s="2" t="s">
        <v>34</v>
      </c>
      <c r="C666" s="2" t="s">
        <v>46</v>
      </c>
      <c r="D666" s="2" t="s">
        <v>37</v>
      </c>
      <c r="E666" s="2" t="s">
        <v>52</v>
      </c>
      <c r="F666" s="2">
        <v>4</v>
      </c>
      <c r="G666" s="2" t="s">
        <v>21</v>
      </c>
      <c r="H666" t="str" cm="1">
        <f t="array" ref="H666:J666">_xlfn.XLOOKUP(C666,Products!A:A,Products!B:D)</f>
        <v>Ergonomic Chair</v>
      </c>
      <c r="I666" t="str">
        <v>Furniture</v>
      </c>
      <c r="J666">
        <v>249.99</v>
      </c>
      <c r="K666">
        <f t="shared" si="11"/>
        <v>999.96</v>
      </c>
      <c r="Q666" s="8"/>
    </row>
    <row r="667" spans="1:17" ht="14.25" customHeight="1" x14ac:dyDescent="0.3">
      <c r="A667" s="2" t="s">
        <v>715</v>
      </c>
      <c r="B667" s="2" t="s">
        <v>54</v>
      </c>
      <c r="C667" s="2" t="s">
        <v>18</v>
      </c>
      <c r="D667" s="2" t="s">
        <v>19</v>
      </c>
      <c r="E667" s="2" t="s">
        <v>24</v>
      </c>
      <c r="F667" s="2">
        <v>5</v>
      </c>
      <c r="G667" s="2" t="s">
        <v>21</v>
      </c>
      <c r="H667" t="str" cm="1">
        <f t="array" ref="H667:J667">_xlfn.XLOOKUP(C667,Products!A:A,Products!B:D)</f>
        <v>Tablet Air</v>
      </c>
      <c r="I667" t="str">
        <v>Electronics</v>
      </c>
      <c r="J667">
        <v>499.99</v>
      </c>
      <c r="K667">
        <f t="shared" si="11"/>
        <v>2499.9499999999998</v>
      </c>
      <c r="Q667" s="8"/>
    </row>
    <row r="668" spans="1:17" ht="14.25" customHeight="1" x14ac:dyDescent="0.3">
      <c r="A668" s="2" t="s">
        <v>716</v>
      </c>
      <c r="B668" s="2" t="s">
        <v>56</v>
      </c>
      <c r="C668" s="2" t="s">
        <v>46</v>
      </c>
      <c r="D668" s="2" t="s">
        <v>37</v>
      </c>
      <c r="E668" s="2" t="s">
        <v>24</v>
      </c>
      <c r="F668" s="2">
        <v>4</v>
      </c>
      <c r="G668" s="2" t="s">
        <v>21</v>
      </c>
      <c r="H668" t="str" cm="1">
        <f t="array" ref="H668:J668">_xlfn.XLOOKUP(C668,Products!A:A,Products!B:D)</f>
        <v>Ergonomic Chair</v>
      </c>
      <c r="I668" t="str">
        <v>Furniture</v>
      </c>
      <c r="J668">
        <v>249.99</v>
      </c>
      <c r="K668">
        <f t="shared" si="11"/>
        <v>999.96</v>
      </c>
      <c r="Q668" s="8"/>
    </row>
    <row r="669" spans="1:17" ht="14.25" customHeight="1" x14ac:dyDescent="0.3">
      <c r="A669" s="2" t="s">
        <v>717</v>
      </c>
      <c r="B669" s="2" t="s">
        <v>17</v>
      </c>
      <c r="C669" s="2" t="s">
        <v>30</v>
      </c>
      <c r="D669" s="2" t="s">
        <v>19</v>
      </c>
      <c r="E669" s="2" t="s">
        <v>52</v>
      </c>
      <c r="F669" s="2">
        <v>1</v>
      </c>
      <c r="G669" s="2" t="s">
        <v>21</v>
      </c>
      <c r="H669" t="str" cm="1">
        <f t="array" ref="H669:J669">_xlfn.XLOOKUP(C669,Products!A:A,Products!B:D)</f>
        <v>Wireless Headphones</v>
      </c>
      <c r="I669" t="str">
        <v>Accessories</v>
      </c>
      <c r="J669">
        <v>149.99</v>
      </c>
      <c r="K669">
        <f t="shared" si="11"/>
        <v>149.99</v>
      </c>
      <c r="Q669" s="8"/>
    </row>
    <row r="670" spans="1:17" ht="14.25" customHeight="1" x14ac:dyDescent="0.3">
      <c r="A670" s="2" t="s">
        <v>718</v>
      </c>
      <c r="B670" s="2" t="s">
        <v>27</v>
      </c>
      <c r="C670" s="2" t="s">
        <v>7</v>
      </c>
      <c r="D670" s="2" t="s">
        <v>19</v>
      </c>
      <c r="E670" s="2" t="s">
        <v>47</v>
      </c>
      <c r="F670" s="2">
        <v>3</v>
      </c>
      <c r="G670" s="2" t="s">
        <v>25</v>
      </c>
      <c r="H670" t="str" cm="1">
        <f t="array" ref="H670:J670">_xlfn.XLOOKUP(C670,Products!A:A,Products!B:D)</f>
        <v>Smartphone X</v>
      </c>
      <c r="I670" t="str">
        <v>Electronics</v>
      </c>
      <c r="J670">
        <v>999.99</v>
      </c>
      <c r="K670">
        <f t="shared" si="11"/>
        <v>0</v>
      </c>
      <c r="Q670" s="8"/>
    </row>
    <row r="671" spans="1:17" ht="14.25" customHeight="1" x14ac:dyDescent="0.3">
      <c r="A671" s="2" t="s">
        <v>719</v>
      </c>
      <c r="B671" s="2" t="s">
        <v>54</v>
      </c>
      <c r="C671" s="2" t="s">
        <v>30</v>
      </c>
      <c r="D671" s="2" t="s">
        <v>37</v>
      </c>
      <c r="E671" s="2" t="s">
        <v>20</v>
      </c>
      <c r="F671" s="2">
        <v>4</v>
      </c>
      <c r="G671" s="2" t="s">
        <v>21</v>
      </c>
      <c r="H671" t="str" cm="1">
        <f t="array" ref="H671:J671">_xlfn.XLOOKUP(C671,Products!A:A,Products!B:D)</f>
        <v>Wireless Headphones</v>
      </c>
      <c r="I671" t="str">
        <v>Accessories</v>
      </c>
      <c r="J671">
        <v>149.99</v>
      </c>
      <c r="K671">
        <f t="shared" si="11"/>
        <v>599.96</v>
      </c>
      <c r="Q671" s="8"/>
    </row>
    <row r="672" spans="1:17" ht="14.25" customHeight="1" x14ac:dyDescent="0.3">
      <c r="A672" s="2" t="s">
        <v>720</v>
      </c>
      <c r="B672" s="2" t="s">
        <v>34</v>
      </c>
      <c r="C672" s="2" t="s">
        <v>43</v>
      </c>
      <c r="D672" s="2" t="s">
        <v>29</v>
      </c>
      <c r="E672" s="2" t="s">
        <v>20</v>
      </c>
      <c r="F672" s="2">
        <v>1</v>
      </c>
      <c r="G672" s="2" t="s">
        <v>25</v>
      </c>
      <c r="H672" t="str" cm="1">
        <f t="array" ref="H672:J672">_xlfn.XLOOKUP(C672,Products!A:A,Products!B:D)</f>
        <v>Bluetooth Speaker</v>
      </c>
      <c r="I672" t="str">
        <v>Accessories</v>
      </c>
      <c r="J672">
        <v>79.989999999999995</v>
      </c>
      <c r="K672">
        <f t="shared" si="11"/>
        <v>0</v>
      </c>
      <c r="Q672" s="8"/>
    </row>
    <row r="673" spans="1:17" ht="14.25" customHeight="1" x14ac:dyDescent="0.3">
      <c r="A673" s="2" t="s">
        <v>721</v>
      </c>
      <c r="B673" s="2" t="s">
        <v>56</v>
      </c>
      <c r="C673" s="2" t="s">
        <v>35</v>
      </c>
      <c r="D673" s="2" t="s">
        <v>19</v>
      </c>
      <c r="E673" s="2" t="s">
        <v>20</v>
      </c>
      <c r="F673" s="2">
        <v>3</v>
      </c>
      <c r="G673" s="2" t="s">
        <v>21</v>
      </c>
      <c r="H673" t="str" cm="1">
        <f t="array" ref="H673:J673">_xlfn.XLOOKUP(C673,Products!A:A,Products!B:D)</f>
        <v>Mechanical Keyboard</v>
      </c>
      <c r="I673" t="str">
        <v>Accessories</v>
      </c>
      <c r="J673">
        <v>89.99</v>
      </c>
      <c r="K673">
        <f t="shared" si="11"/>
        <v>269.96999999999997</v>
      </c>
      <c r="Q673" s="8"/>
    </row>
    <row r="674" spans="1:17" ht="14.25" customHeight="1" x14ac:dyDescent="0.3">
      <c r="A674" s="2" t="s">
        <v>722</v>
      </c>
      <c r="B674" s="2" t="s">
        <v>17</v>
      </c>
      <c r="C674" s="2" t="s">
        <v>35</v>
      </c>
      <c r="D674" s="2" t="s">
        <v>41</v>
      </c>
      <c r="E674" s="2" t="s">
        <v>47</v>
      </c>
      <c r="F674" s="2">
        <v>2</v>
      </c>
      <c r="G674" s="2" t="s">
        <v>21</v>
      </c>
      <c r="H674" t="str" cm="1">
        <f t="array" ref="H674:J674">_xlfn.XLOOKUP(C674,Products!A:A,Products!B:D)</f>
        <v>Mechanical Keyboard</v>
      </c>
      <c r="I674" t="str">
        <v>Accessories</v>
      </c>
      <c r="J674">
        <v>89.99</v>
      </c>
      <c r="K674">
        <f t="shared" si="11"/>
        <v>179.98</v>
      </c>
      <c r="Q674" s="8"/>
    </row>
    <row r="675" spans="1:17" ht="14.25" customHeight="1" x14ac:dyDescent="0.3">
      <c r="A675" s="2" t="s">
        <v>723</v>
      </c>
      <c r="B675" s="2" t="s">
        <v>58</v>
      </c>
      <c r="C675" s="2" t="s">
        <v>38</v>
      </c>
      <c r="D675" s="2" t="s">
        <v>60</v>
      </c>
      <c r="E675" s="2" t="s">
        <v>52</v>
      </c>
      <c r="F675" s="2">
        <v>2</v>
      </c>
      <c r="G675" s="2" t="s">
        <v>21</v>
      </c>
      <c r="H675" t="str" cm="1">
        <f t="array" ref="H675:J675">_xlfn.XLOOKUP(C675,Products!A:A,Products!B:D)</f>
        <v>Gaming Mouse</v>
      </c>
      <c r="I675" t="str">
        <v>Accessories</v>
      </c>
      <c r="J675">
        <v>49.99</v>
      </c>
      <c r="K675">
        <f t="shared" si="11"/>
        <v>99.98</v>
      </c>
      <c r="Q675" s="8"/>
    </row>
    <row r="676" spans="1:17" ht="14.25" customHeight="1" x14ac:dyDescent="0.3">
      <c r="A676" s="2" t="s">
        <v>724</v>
      </c>
      <c r="B676" s="2" t="s">
        <v>17</v>
      </c>
      <c r="C676" s="2" t="s">
        <v>30</v>
      </c>
      <c r="D676" s="2" t="s">
        <v>29</v>
      </c>
      <c r="E676" s="2" t="s">
        <v>20</v>
      </c>
      <c r="F676" s="2">
        <v>2</v>
      </c>
      <c r="G676" s="2" t="s">
        <v>21</v>
      </c>
      <c r="H676" t="str" cm="1">
        <f t="array" ref="H676:J676">_xlfn.XLOOKUP(C676,Products!A:A,Products!B:D)</f>
        <v>Wireless Headphones</v>
      </c>
      <c r="I676" t="str">
        <v>Accessories</v>
      </c>
      <c r="J676">
        <v>149.99</v>
      </c>
      <c r="K676">
        <f t="shared" si="11"/>
        <v>299.98</v>
      </c>
      <c r="Q676" s="8"/>
    </row>
    <row r="677" spans="1:17" ht="14.25" customHeight="1" x14ac:dyDescent="0.3">
      <c r="A677" s="2" t="s">
        <v>725</v>
      </c>
      <c r="B677" s="2" t="s">
        <v>56</v>
      </c>
      <c r="C677" s="2" t="s">
        <v>30</v>
      </c>
      <c r="D677" s="2" t="s">
        <v>19</v>
      </c>
      <c r="E677" s="2" t="s">
        <v>24</v>
      </c>
      <c r="F677" s="2">
        <v>1</v>
      </c>
      <c r="G677" s="2" t="s">
        <v>25</v>
      </c>
      <c r="H677" t="str" cm="1">
        <f t="array" ref="H677:J677">_xlfn.XLOOKUP(C677,Products!A:A,Products!B:D)</f>
        <v>Wireless Headphones</v>
      </c>
      <c r="I677" t="str">
        <v>Accessories</v>
      </c>
      <c r="J677">
        <v>149.99</v>
      </c>
      <c r="K677">
        <f t="shared" si="11"/>
        <v>0</v>
      </c>
      <c r="Q677" s="8"/>
    </row>
    <row r="678" spans="1:17" ht="14.25" customHeight="1" x14ac:dyDescent="0.3">
      <c r="A678" s="2" t="s">
        <v>726</v>
      </c>
      <c r="B678" s="2" t="s">
        <v>34</v>
      </c>
      <c r="C678" s="2" t="s">
        <v>7</v>
      </c>
      <c r="D678" s="2" t="s">
        <v>19</v>
      </c>
      <c r="E678" s="2" t="s">
        <v>20</v>
      </c>
      <c r="F678" s="2">
        <v>3</v>
      </c>
      <c r="G678" s="2" t="s">
        <v>21</v>
      </c>
      <c r="H678" t="str" cm="1">
        <f t="array" ref="H678:J678">_xlfn.XLOOKUP(C678,Products!A:A,Products!B:D)</f>
        <v>Smartphone X</v>
      </c>
      <c r="I678" t="str">
        <v>Electronics</v>
      </c>
      <c r="J678">
        <v>999.99</v>
      </c>
      <c r="K678">
        <f t="shared" si="11"/>
        <v>2999.9700000000003</v>
      </c>
      <c r="Q678" s="8"/>
    </row>
    <row r="679" spans="1:17" ht="14.25" customHeight="1" x14ac:dyDescent="0.3">
      <c r="A679" s="2" t="s">
        <v>727</v>
      </c>
      <c r="B679" s="2" t="s">
        <v>54</v>
      </c>
      <c r="C679" s="2" t="s">
        <v>38</v>
      </c>
      <c r="D679" s="2" t="s">
        <v>41</v>
      </c>
      <c r="E679" s="2" t="s">
        <v>24</v>
      </c>
      <c r="F679" s="2">
        <v>5</v>
      </c>
      <c r="G679" s="2" t="s">
        <v>61</v>
      </c>
      <c r="H679" t="str" cm="1">
        <f t="array" ref="H679:J679">_xlfn.XLOOKUP(C679,Products!A:A,Products!B:D)</f>
        <v>Gaming Mouse</v>
      </c>
      <c r="I679" t="str">
        <v>Accessories</v>
      </c>
      <c r="J679">
        <v>49.99</v>
      </c>
      <c r="K679">
        <f t="shared" si="11"/>
        <v>249.95000000000002</v>
      </c>
      <c r="Q679" s="8"/>
    </row>
    <row r="680" spans="1:17" ht="14.25" customHeight="1" x14ac:dyDescent="0.3">
      <c r="A680" s="2" t="s">
        <v>728</v>
      </c>
      <c r="B680" s="2" t="s">
        <v>58</v>
      </c>
      <c r="C680" s="2" t="s">
        <v>38</v>
      </c>
      <c r="D680" s="2" t="s">
        <v>60</v>
      </c>
      <c r="E680" s="2" t="s">
        <v>20</v>
      </c>
      <c r="F680" s="2">
        <v>4</v>
      </c>
      <c r="G680" s="2" t="s">
        <v>21</v>
      </c>
      <c r="H680" t="str" cm="1">
        <f t="array" ref="H680:J680">_xlfn.XLOOKUP(C680,Products!A:A,Products!B:D)</f>
        <v>Gaming Mouse</v>
      </c>
      <c r="I680" t="str">
        <v>Accessories</v>
      </c>
      <c r="J680">
        <v>49.99</v>
      </c>
      <c r="K680">
        <f t="shared" si="11"/>
        <v>199.96</v>
      </c>
      <c r="Q680" s="8"/>
    </row>
    <row r="681" spans="1:17" ht="14.25" customHeight="1" x14ac:dyDescent="0.3">
      <c r="A681" s="2" t="s">
        <v>729</v>
      </c>
      <c r="B681" s="2" t="s">
        <v>54</v>
      </c>
      <c r="C681" s="2" t="s">
        <v>23</v>
      </c>
      <c r="D681" s="2" t="s">
        <v>60</v>
      </c>
      <c r="E681" s="2" t="s">
        <v>24</v>
      </c>
      <c r="F681" s="2">
        <v>1</v>
      </c>
      <c r="G681" s="2" t="s">
        <v>21</v>
      </c>
      <c r="H681" t="str" cm="1">
        <f t="array" ref="H681:J681">_xlfn.XLOOKUP(C681,Products!A:A,Products!B:D)</f>
        <v>4K Monitor</v>
      </c>
      <c r="I681" t="str">
        <v>Electronics</v>
      </c>
      <c r="J681">
        <v>349.99</v>
      </c>
      <c r="K681">
        <f t="shared" si="11"/>
        <v>349.99</v>
      </c>
      <c r="Q681" s="8"/>
    </row>
    <row r="682" spans="1:17" ht="14.25" customHeight="1" x14ac:dyDescent="0.3">
      <c r="A682" s="2" t="s">
        <v>730</v>
      </c>
      <c r="B682" s="2" t="s">
        <v>54</v>
      </c>
      <c r="C682" s="2" t="s">
        <v>46</v>
      </c>
      <c r="D682" s="2" t="s">
        <v>60</v>
      </c>
      <c r="E682" s="2" t="s">
        <v>24</v>
      </c>
      <c r="F682" s="2">
        <v>3</v>
      </c>
      <c r="G682" s="2" t="s">
        <v>21</v>
      </c>
      <c r="H682" t="str" cm="1">
        <f t="array" ref="H682:J682">_xlfn.XLOOKUP(C682,Products!A:A,Products!B:D)</f>
        <v>Ergonomic Chair</v>
      </c>
      <c r="I682" t="str">
        <v>Furniture</v>
      </c>
      <c r="J682">
        <v>249.99</v>
      </c>
      <c r="K682">
        <f t="shared" si="11"/>
        <v>749.97</v>
      </c>
      <c r="Q682" s="8"/>
    </row>
    <row r="683" spans="1:17" ht="14.25" customHeight="1" x14ac:dyDescent="0.3">
      <c r="A683" s="2" t="s">
        <v>731</v>
      </c>
      <c r="B683" s="2" t="s">
        <v>34</v>
      </c>
      <c r="C683" s="2" t="s">
        <v>35</v>
      </c>
      <c r="D683" s="2" t="s">
        <v>41</v>
      </c>
      <c r="E683" s="2" t="s">
        <v>24</v>
      </c>
      <c r="F683" s="2">
        <v>2</v>
      </c>
      <c r="G683" s="2" t="s">
        <v>21</v>
      </c>
      <c r="H683" t="str" cm="1">
        <f t="array" ref="H683:J683">_xlfn.XLOOKUP(C683,Products!A:A,Products!B:D)</f>
        <v>Mechanical Keyboard</v>
      </c>
      <c r="I683" t="str">
        <v>Accessories</v>
      </c>
      <c r="J683">
        <v>89.99</v>
      </c>
      <c r="K683">
        <f t="shared" si="11"/>
        <v>179.98</v>
      </c>
      <c r="Q683" s="8"/>
    </row>
    <row r="684" spans="1:17" ht="14.25" customHeight="1" x14ac:dyDescent="0.3">
      <c r="A684" s="2" t="s">
        <v>732</v>
      </c>
      <c r="B684" s="2" t="s">
        <v>54</v>
      </c>
      <c r="C684" s="2" t="s">
        <v>43</v>
      </c>
      <c r="D684" s="2" t="s">
        <v>29</v>
      </c>
      <c r="E684" s="2" t="s">
        <v>20</v>
      </c>
      <c r="F684" s="2">
        <v>2</v>
      </c>
      <c r="G684" s="2" t="s">
        <v>61</v>
      </c>
      <c r="H684" t="str" cm="1">
        <f t="array" ref="H684:J684">_xlfn.XLOOKUP(C684,Products!A:A,Products!B:D)</f>
        <v>Bluetooth Speaker</v>
      </c>
      <c r="I684" t="str">
        <v>Accessories</v>
      </c>
      <c r="J684">
        <v>79.989999999999995</v>
      </c>
      <c r="K684">
        <f t="shared" si="11"/>
        <v>159.97999999999999</v>
      </c>
      <c r="Q684" s="8"/>
    </row>
    <row r="685" spans="1:17" ht="14.25" customHeight="1" x14ac:dyDescent="0.3">
      <c r="A685" s="2" t="s">
        <v>733</v>
      </c>
      <c r="B685" s="2" t="s">
        <v>58</v>
      </c>
      <c r="C685" s="2" t="s">
        <v>46</v>
      </c>
      <c r="D685" s="2" t="s">
        <v>41</v>
      </c>
      <c r="E685" s="2" t="s">
        <v>52</v>
      </c>
      <c r="F685" s="2">
        <v>5</v>
      </c>
      <c r="G685" s="2" t="s">
        <v>21</v>
      </c>
      <c r="H685" t="str" cm="1">
        <f t="array" ref="H685:J685">_xlfn.XLOOKUP(C685,Products!A:A,Products!B:D)</f>
        <v>Ergonomic Chair</v>
      </c>
      <c r="I685" t="str">
        <v>Furniture</v>
      </c>
      <c r="J685">
        <v>249.99</v>
      </c>
      <c r="K685">
        <f t="shared" si="11"/>
        <v>1249.95</v>
      </c>
      <c r="Q685" s="8"/>
    </row>
    <row r="686" spans="1:17" ht="14.25" customHeight="1" x14ac:dyDescent="0.3">
      <c r="A686" s="2" t="s">
        <v>734</v>
      </c>
      <c r="B686" s="2" t="s">
        <v>27</v>
      </c>
      <c r="C686" s="2" t="s">
        <v>38</v>
      </c>
      <c r="D686" s="2" t="s">
        <v>41</v>
      </c>
      <c r="E686" s="2" t="s">
        <v>47</v>
      </c>
      <c r="F686" s="2">
        <v>3</v>
      </c>
      <c r="G686" s="2" t="s">
        <v>21</v>
      </c>
      <c r="H686" t="str" cm="1">
        <f t="array" ref="H686:J686">_xlfn.XLOOKUP(C686,Products!A:A,Products!B:D)</f>
        <v>Gaming Mouse</v>
      </c>
      <c r="I686" t="str">
        <v>Accessories</v>
      </c>
      <c r="J686">
        <v>49.99</v>
      </c>
      <c r="K686">
        <f t="shared" si="11"/>
        <v>149.97</v>
      </c>
      <c r="Q686" s="8"/>
    </row>
    <row r="687" spans="1:17" ht="14.25" customHeight="1" x14ac:dyDescent="0.3">
      <c r="A687" s="2" t="s">
        <v>735</v>
      </c>
      <c r="B687" s="2" t="s">
        <v>17</v>
      </c>
      <c r="C687" s="2" t="s">
        <v>18</v>
      </c>
      <c r="D687" s="2" t="s">
        <v>37</v>
      </c>
      <c r="E687" s="2" t="s">
        <v>24</v>
      </c>
      <c r="F687" s="2">
        <v>2</v>
      </c>
      <c r="G687" s="2" t="s">
        <v>61</v>
      </c>
      <c r="H687" t="str" cm="1">
        <f t="array" ref="H687:J687">_xlfn.XLOOKUP(C687,Products!A:A,Products!B:D)</f>
        <v>Tablet Air</v>
      </c>
      <c r="I687" t="str">
        <v>Electronics</v>
      </c>
      <c r="J687">
        <v>499.99</v>
      </c>
      <c r="K687">
        <f t="shared" si="11"/>
        <v>999.98</v>
      </c>
      <c r="Q687" s="8"/>
    </row>
    <row r="688" spans="1:17" ht="14.25" customHeight="1" x14ac:dyDescent="0.3">
      <c r="A688" s="2" t="s">
        <v>736</v>
      </c>
      <c r="B688" s="2" t="s">
        <v>27</v>
      </c>
      <c r="C688" s="2" t="s">
        <v>46</v>
      </c>
      <c r="D688" s="2" t="s">
        <v>41</v>
      </c>
      <c r="E688" s="2" t="s">
        <v>20</v>
      </c>
      <c r="F688" s="2">
        <v>2</v>
      </c>
      <c r="G688" s="2" t="s">
        <v>21</v>
      </c>
      <c r="H688" t="str" cm="1">
        <f t="array" ref="H688:J688">_xlfn.XLOOKUP(C688,Products!A:A,Products!B:D)</f>
        <v>Ergonomic Chair</v>
      </c>
      <c r="I688" t="str">
        <v>Furniture</v>
      </c>
      <c r="J688">
        <v>249.99</v>
      </c>
      <c r="K688">
        <f t="shared" si="11"/>
        <v>499.98</v>
      </c>
      <c r="Q688" s="8"/>
    </row>
    <row r="689" spans="1:17" ht="14.25" customHeight="1" x14ac:dyDescent="0.3">
      <c r="A689" s="2" t="s">
        <v>737</v>
      </c>
      <c r="B689" s="2" t="s">
        <v>17</v>
      </c>
      <c r="C689" s="2" t="s">
        <v>7</v>
      </c>
      <c r="D689" s="2" t="s">
        <v>19</v>
      </c>
      <c r="E689" s="2" t="s">
        <v>47</v>
      </c>
      <c r="F689" s="2">
        <v>2</v>
      </c>
      <c r="G689" s="2" t="s">
        <v>25</v>
      </c>
      <c r="H689" t="str" cm="1">
        <f t="array" ref="H689:J689">_xlfn.XLOOKUP(C689,Products!A:A,Products!B:D)</f>
        <v>Smartphone X</v>
      </c>
      <c r="I689" t="str">
        <v>Electronics</v>
      </c>
      <c r="J689">
        <v>999.99</v>
      </c>
      <c r="K689">
        <f t="shared" si="11"/>
        <v>0</v>
      </c>
      <c r="Q689" s="8"/>
    </row>
    <row r="690" spans="1:17" ht="14.25" customHeight="1" x14ac:dyDescent="0.3">
      <c r="A690" s="2" t="s">
        <v>738</v>
      </c>
      <c r="B690" s="2" t="s">
        <v>58</v>
      </c>
      <c r="C690" s="2" t="s">
        <v>23</v>
      </c>
      <c r="D690" s="2" t="s">
        <v>60</v>
      </c>
      <c r="E690" s="2" t="s">
        <v>52</v>
      </c>
      <c r="F690" s="2">
        <v>1</v>
      </c>
      <c r="G690" s="2" t="s">
        <v>21</v>
      </c>
      <c r="H690" t="str" cm="1">
        <f t="array" ref="H690:J690">_xlfn.XLOOKUP(C690,Products!A:A,Products!B:D)</f>
        <v>4K Monitor</v>
      </c>
      <c r="I690" t="str">
        <v>Electronics</v>
      </c>
      <c r="J690">
        <v>349.99</v>
      </c>
      <c r="K690">
        <f t="shared" si="11"/>
        <v>349.99</v>
      </c>
      <c r="Q690" s="8"/>
    </row>
    <row r="691" spans="1:17" ht="14.25" customHeight="1" x14ac:dyDescent="0.3">
      <c r="A691" s="2" t="s">
        <v>739</v>
      </c>
      <c r="B691" s="2" t="s">
        <v>58</v>
      </c>
      <c r="C691" s="2" t="s">
        <v>35</v>
      </c>
      <c r="D691" s="2" t="s">
        <v>60</v>
      </c>
      <c r="E691" s="2" t="s">
        <v>24</v>
      </c>
      <c r="F691" s="2">
        <v>2</v>
      </c>
      <c r="G691" s="2" t="s">
        <v>21</v>
      </c>
      <c r="H691" t="str" cm="1">
        <f t="array" ref="H691:J691">_xlfn.XLOOKUP(C691,Products!A:A,Products!B:D)</f>
        <v>Mechanical Keyboard</v>
      </c>
      <c r="I691" t="str">
        <v>Accessories</v>
      </c>
      <c r="J691">
        <v>89.99</v>
      </c>
      <c r="K691">
        <f t="shared" si="11"/>
        <v>179.98</v>
      </c>
      <c r="Q691" s="8"/>
    </row>
    <row r="692" spans="1:17" ht="14.25" customHeight="1" x14ac:dyDescent="0.3">
      <c r="A692" s="2" t="s">
        <v>740</v>
      </c>
      <c r="B692" s="2" t="s">
        <v>34</v>
      </c>
      <c r="C692" s="2" t="s">
        <v>30</v>
      </c>
      <c r="D692" s="2" t="s">
        <v>37</v>
      </c>
      <c r="E692" s="2" t="s">
        <v>20</v>
      </c>
      <c r="F692" s="2">
        <v>1</v>
      </c>
      <c r="G692" s="2" t="s">
        <v>61</v>
      </c>
      <c r="H692" t="str" cm="1">
        <f t="array" ref="H692:J692">_xlfn.XLOOKUP(C692,Products!A:A,Products!B:D)</f>
        <v>Wireless Headphones</v>
      </c>
      <c r="I692" t="str">
        <v>Accessories</v>
      </c>
      <c r="J692">
        <v>149.99</v>
      </c>
      <c r="K692">
        <f t="shared" si="11"/>
        <v>149.99</v>
      </c>
      <c r="Q692" s="8"/>
    </row>
    <row r="693" spans="1:17" ht="14.25" customHeight="1" x14ac:dyDescent="0.3">
      <c r="A693" s="2" t="s">
        <v>741</v>
      </c>
      <c r="B693" s="2" t="s">
        <v>34</v>
      </c>
      <c r="C693" s="2" t="s">
        <v>23</v>
      </c>
      <c r="D693" s="2" t="s">
        <v>19</v>
      </c>
      <c r="E693" s="2" t="s">
        <v>52</v>
      </c>
      <c r="F693" s="2">
        <v>3</v>
      </c>
      <c r="G693" s="2" t="s">
        <v>21</v>
      </c>
      <c r="H693" t="str" cm="1">
        <f t="array" ref="H693:J693">_xlfn.XLOOKUP(C693,Products!A:A,Products!B:D)</f>
        <v>4K Monitor</v>
      </c>
      <c r="I693" t="str">
        <v>Electronics</v>
      </c>
      <c r="J693">
        <v>349.99</v>
      </c>
      <c r="K693">
        <f t="shared" si="11"/>
        <v>1049.97</v>
      </c>
      <c r="Q693" s="8"/>
    </row>
    <row r="694" spans="1:17" ht="14.25" customHeight="1" x14ac:dyDescent="0.3">
      <c r="A694" s="2" t="s">
        <v>742</v>
      </c>
      <c r="B694" s="2" t="s">
        <v>54</v>
      </c>
      <c r="C694" s="2" t="s">
        <v>7</v>
      </c>
      <c r="D694" s="2" t="s">
        <v>19</v>
      </c>
      <c r="E694" s="2" t="s">
        <v>24</v>
      </c>
      <c r="F694" s="2">
        <v>3</v>
      </c>
      <c r="G694" s="2" t="s">
        <v>61</v>
      </c>
      <c r="H694" t="str" cm="1">
        <f t="array" ref="H694:J694">_xlfn.XLOOKUP(C694,Products!A:A,Products!B:D)</f>
        <v>Smartphone X</v>
      </c>
      <c r="I694" t="str">
        <v>Electronics</v>
      </c>
      <c r="J694">
        <v>999.99</v>
      </c>
      <c r="K694">
        <f t="shared" si="11"/>
        <v>2999.9700000000003</v>
      </c>
      <c r="Q694" s="8"/>
    </row>
    <row r="695" spans="1:17" ht="14.25" customHeight="1" x14ac:dyDescent="0.3">
      <c r="A695" s="2" t="s">
        <v>743</v>
      </c>
      <c r="B695" s="2" t="s">
        <v>54</v>
      </c>
      <c r="C695" s="2" t="s">
        <v>7</v>
      </c>
      <c r="D695" s="2" t="s">
        <v>41</v>
      </c>
      <c r="E695" s="2" t="s">
        <v>47</v>
      </c>
      <c r="F695" s="2">
        <v>2</v>
      </c>
      <c r="G695" s="2" t="s">
        <v>25</v>
      </c>
      <c r="H695" t="str" cm="1">
        <f t="array" ref="H695:J695">_xlfn.XLOOKUP(C695,Products!A:A,Products!B:D)</f>
        <v>Smartphone X</v>
      </c>
      <c r="I695" t="str">
        <v>Electronics</v>
      </c>
      <c r="J695">
        <v>999.99</v>
      </c>
      <c r="K695">
        <f t="shared" si="11"/>
        <v>0</v>
      </c>
      <c r="Q695" s="8"/>
    </row>
    <row r="696" spans="1:17" ht="14.25" customHeight="1" x14ac:dyDescent="0.3">
      <c r="A696" s="2" t="s">
        <v>744</v>
      </c>
      <c r="B696" s="2" t="s">
        <v>54</v>
      </c>
      <c r="C696" s="2" t="s">
        <v>30</v>
      </c>
      <c r="D696" s="2" t="s">
        <v>19</v>
      </c>
      <c r="E696" s="2" t="s">
        <v>20</v>
      </c>
      <c r="F696" s="2">
        <v>5</v>
      </c>
      <c r="G696" s="2" t="s">
        <v>25</v>
      </c>
      <c r="H696" t="str" cm="1">
        <f t="array" ref="H696:J696">_xlfn.XLOOKUP(C696,Products!A:A,Products!B:D)</f>
        <v>Wireless Headphones</v>
      </c>
      <c r="I696" t="str">
        <v>Accessories</v>
      </c>
      <c r="J696">
        <v>149.99</v>
      </c>
      <c r="K696">
        <f t="shared" si="11"/>
        <v>0</v>
      </c>
      <c r="Q696" s="8"/>
    </row>
    <row r="697" spans="1:17" ht="14.25" customHeight="1" x14ac:dyDescent="0.3">
      <c r="A697" s="2" t="s">
        <v>745</v>
      </c>
      <c r="B697" s="2" t="s">
        <v>56</v>
      </c>
      <c r="C697" s="2" t="s">
        <v>43</v>
      </c>
      <c r="D697" s="2" t="s">
        <v>29</v>
      </c>
      <c r="E697" s="2" t="s">
        <v>24</v>
      </c>
      <c r="F697" s="2">
        <v>3</v>
      </c>
      <c r="G697" s="2" t="s">
        <v>21</v>
      </c>
      <c r="H697" t="str" cm="1">
        <f t="array" ref="H697:J697">_xlfn.XLOOKUP(C697,Products!A:A,Products!B:D)</f>
        <v>Bluetooth Speaker</v>
      </c>
      <c r="I697" t="str">
        <v>Accessories</v>
      </c>
      <c r="J697">
        <v>79.989999999999995</v>
      </c>
      <c r="K697">
        <f t="shared" si="11"/>
        <v>239.96999999999997</v>
      </c>
      <c r="Q697" s="8"/>
    </row>
    <row r="698" spans="1:17" ht="14.25" customHeight="1" x14ac:dyDescent="0.3">
      <c r="A698" s="2" t="s">
        <v>746</v>
      </c>
      <c r="B698" s="2" t="s">
        <v>27</v>
      </c>
      <c r="C698" s="2" t="s">
        <v>7</v>
      </c>
      <c r="D698" s="2" t="s">
        <v>29</v>
      </c>
      <c r="E698" s="2" t="s">
        <v>24</v>
      </c>
      <c r="F698" s="2">
        <v>3</v>
      </c>
      <c r="G698" s="2" t="s">
        <v>21</v>
      </c>
      <c r="H698" t="str" cm="1">
        <f t="array" ref="H698:J698">_xlfn.XLOOKUP(C698,Products!A:A,Products!B:D)</f>
        <v>Smartphone X</v>
      </c>
      <c r="I698" t="str">
        <v>Electronics</v>
      </c>
      <c r="J698">
        <v>999.99</v>
      </c>
      <c r="K698">
        <f t="shared" si="11"/>
        <v>2999.9700000000003</v>
      </c>
      <c r="Q698" s="8"/>
    </row>
    <row r="699" spans="1:17" ht="14.25" customHeight="1" x14ac:dyDescent="0.3">
      <c r="A699" s="2" t="s">
        <v>747</v>
      </c>
      <c r="B699" s="2" t="s">
        <v>27</v>
      </c>
      <c r="C699" s="2" t="s">
        <v>23</v>
      </c>
      <c r="D699" s="2" t="s">
        <v>37</v>
      </c>
      <c r="E699" s="2" t="s">
        <v>24</v>
      </c>
      <c r="F699" s="2">
        <v>2</v>
      </c>
      <c r="G699" s="2" t="s">
        <v>21</v>
      </c>
      <c r="H699" t="str" cm="1">
        <f t="array" ref="H699:J699">_xlfn.XLOOKUP(C699,Products!A:A,Products!B:D)</f>
        <v>4K Monitor</v>
      </c>
      <c r="I699" t="str">
        <v>Electronics</v>
      </c>
      <c r="J699">
        <v>349.99</v>
      </c>
      <c r="K699">
        <f t="shared" si="11"/>
        <v>699.98</v>
      </c>
      <c r="Q699" s="8"/>
    </row>
    <row r="700" spans="1:17" ht="14.25" customHeight="1" x14ac:dyDescent="0.3">
      <c r="A700" s="2" t="s">
        <v>748</v>
      </c>
      <c r="B700" s="2" t="s">
        <v>58</v>
      </c>
      <c r="C700" s="2" t="s">
        <v>43</v>
      </c>
      <c r="D700" s="2" t="s">
        <v>37</v>
      </c>
      <c r="E700" s="2" t="s">
        <v>52</v>
      </c>
      <c r="F700" s="2">
        <v>1</v>
      </c>
      <c r="G700" s="2" t="s">
        <v>21</v>
      </c>
      <c r="H700" t="str" cm="1">
        <f t="array" ref="H700:J700">_xlfn.XLOOKUP(C700,Products!A:A,Products!B:D)</f>
        <v>Bluetooth Speaker</v>
      </c>
      <c r="I700" t="str">
        <v>Accessories</v>
      </c>
      <c r="J700">
        <v>79.989999999999995</v>
      </c>
      <c r="K700">
        <f t="shared" si="11"/>
        <v>79.989999999999995</v>
      </c>
      <c r="Q700" s="8"/>
    </row>
    <row r="701" spans="1:17" ht="14.25" customHeight="1" x14ac:dyDescent="0.3">
      <c r="A701" s="2" t="s">
        <v>749</v>
      </c>
      <c r="B701" s="2" t="s">
        <v>58</v>
      </c>
      <c r="C701" s="2" t="s">
        <v>43</v>
      </c>
      <c r="D701" s="2" t="s">
        <v>60</v>
      </c>
      <c r="E701" s="2" t="s">
        <v>47</v>
      </c>
      <c r="F701" s="2">
        <v>3</v>
      </c>
      <c r="G701" s="2" t="s">
        <v>61</v>
      </c>
      <c r="H701" t="str" cm="1">
        <f t="array" ref="H701:J701">_xlfn.XLOOKUP(C701,Products!A:A,Products!B:D)</f>
        <v>Bluetooth Speaker</v>
      </c>
      <c r="I701" t="str">
        <v>Accessories</v>
      </c>
      <c r="J701">
        <v>79.989999999999995</v>
      </c>
      <c r="K701">
        <f t="shared" si="11"/>
        <v>239.96999999999997</v>
      </c>
      <c r="Q701" s="8"/>
    </row>
    <row r="702" spans="1:17" ht="14.25" customHeight="1" x14ac:dyDescent="0.3">
      <c r="A702" s="2" t="s">
        <v>750</v>
      </c>
      <c r="B702" s="2" t="s">
        <v>54</v>
      </c>
      <c r="C702" s="2" t="s">
        <v>23</v>
      </c>
      <c r="D702" s="2" t="s">
        <v>60</v>
      </c>
      <c r="E702" s="2" t="s">
        <v>24</v>
      </c>
      <c r="F702" s="2">
        <v>3</v>
      </c>
      <c r="G702" s="2" t="s">
        <v>25</v>
      </c>
      <c r="H702" t="str" cm="1">
        <f t="array" ref="H702:J702">_xlfn.XLOOKUP(C702,Products!A:A,Products!B:D)</f>
        <v>4K Monitor</v>
      </c>
      <c r="I702" t="str">
        <v>Electronics</v>
      </c>
      <c r="J702">
        <v>349.99</v>
      </c>
      <c r="K702">
        <f t="shared" si="11"/>
        <v>0</v>
      </c>
      <c r="Q702" s="8"/>
    </row>
    <row r="703" spans="1:17" ht="14.25" customHeight="1" x14ac:dyDescent="0.3">
      <c r="A703" s="2" t="s">
        <v>751</v>
      </c>
      <c r="B703" s="2" t="s">
        <v>54</v>
      </c>
      <c r="C703" s="2" t="s">
        <v>35</v>
      </c>
      <c r="D703" s="2" t="s">
        <v>41</v>
      </c>
      <c r="E703" s="2" t="s">
        <v>47</v>
      </c>
      <c r="F703" s="2">
        <v>2</v>
      </c>
      <c r="G703" s="2" t="s">
        <v>21</v>
      </c>
      <c r="H703" t="str" cm="1">
        <f t="array" ref="H703:J703">_xlfn.XLOOKUP(C703,Products!A:A,Products!B:D)</f>
        <v>Mechanical Keyboard</v>
      </c>
      <c r="I703" t="str">
        <v>Accessories</v>
      </c>
      <c r="J703">
        <v>89.99</v>
      </c>
      <c r="K703">
        <f t="shared" si="11"/>
        <v>179.98</v>
      </c>
      <c r="Q703" s="8"/>
    </row>
    <row r="704" spans="1:17" ht="14.25" customHeight="1" x14ac:dyDescent="0.3">
      <c r="A704" s="2" t="s">
        <v>752</v>
      </c>
      <c r="B704" s="2" t="s">
        <v>17</v>
      </c>
      <c r="C704" s="2" t="s">
        <v>18</v>
      </c>
      <c r="D704" s="2" t="s">
        <v>29</v>
      </c>
      <c r="E704" s="2" t="s">
        <v>47</v>
      </c>
      <c r="F704" s="2">
        <v>1</v>
      </c>
      <c r="G704" s="2" t="s">
        <v>21</v>
      </c>
      <c r="H704" t="str" cm="1">
        <f t="array" ref="H704:J704">_xlfn.XLOOKUP(C704,Products!A:A,Products!B:D)</f>
        <v>Tablet Air</v>
      </c>
      <c r="I704" t="str">
        <v>Electronics</v>
      </c>
      <c r="J704">
        <v>499.99</v>
      </c>
      <c r="K704">
        <f t="shared" si="11"/>
        <v>499.99</v>
      </c>
      <c r="Q704" s="8"/>
    </row>
    <row r="705" spans="1:17" ht="14.25" customHeight="1" x14ac:dyDescent="0.3">
      <c r="A705" s="2" t="s">
        <v>753</v>
      </c>
      <c r="B705" s="2" t="s">
        <v>56</v>
      </c>
      <c r="C705" s="2" t="s">
        <v>23</v>
      </c>
      <c r="D705" s="2" t="s">
        <v>37</v>
      </c>
      <c r="E705" s="2" t="s">
        <v>47</v>
      </c>
      <c r="F705" s="2">
        <v>1</v>
      </c>
      <c r="G705" s="2" t="s">
        <v>25</v>
      </c>
      <c r="H705" t="str" cm="1">
        <f t="array" ref="H705:J705">_xlfn.XLOOKUP(C705,Products!A:A,Products!B:D)</f>
        <v>4K Monitor</v>
      </c>
      <c r="I705" t="str">
        <v>Electronics</v>
      </c>
      <c r="J705">
        <v>349.99</v>
      </c>
      <c r="K705">
        <f t="shared" si="11"/>
        <v>0</v>
      </c>
      <c r="Q705" s="8"/>
    </row>
    <row r="706" spans="1:17" ht="14.25" customHeight="1" x14ac:dyDescent="0.3">
      <c r="A706" s="2" t="s">
        <v>754</v>
      </c>
      <c r="B706" s="2" t="s">
        <v>27</v>
      </c>
      <c r="C706" s="2" t="s">
        <v>30</v>
      </c>
      <c r="D706" s="2" t="s">
        <v>60</v>
      </c>
      <c r="E706" s="2" t="s">
        <v>24</v>
      </c>
      <c r="F706" s="2">
        <v>2</v>
      </c>
      <c r="G706" s="2" t="s">
        <v>25</v>
      </c>
      <c r="H706" t="str" cm="1">
        <f t="array" ref="H706:J706">_xlfn.XLOOKUP(C706,Products!A:A,Products!B:D)</f>
        <v>Wireless Headphones</v>
      </c>
      <c r="I706" t="str">
        <v>Accessories</v>
      </c>
      <c r="J706">
        <v>149.99</v>
      </c>
      <c r="K706">
        <f t="shared" si="11"/>
        <v>0</v>
      </c>
      <c r="Q706" s="8"/>
    </row>
    <row r="707" spans="1:17" ht="14.25" customHeight="1" x14ac:dyDescent="0.3">
      <c r="A707" s="2" t="s">
        <v>755</v>
      </c>
      <c r="B707" s="2" t="s">
        <v>27</v>
      </c>
      <c r="C707" s="2" t="s">
        <v>30</v>
      </c>
      <c r="D707" s="2" t="s">
        <v>41</v>
      </c>
      <c r="E707" s="2" t="s">
        <v>20</v>
      </c>
      <c r="F707" s="2">
        <v>4</v>
      </c>
      <c r="G707" s="2" t="s">
        <v>61</v>
      </c>
      <c r="H707" t="str" cm="1">
        <f t="array" ref="H707:J707">_xlfn.XLOOKUP(C707,Products!A:A,Products!B:D)</f>
        <v>Wireless Headphones</v>
      </c>
      <c r="I707" t="str">
        <v>Accessories</v>
      </c>
      <c r="J707">
        <v>149.99</v>
      </c>
      <c r="K707">
        <f t="shared" ref="K707:K770" si="12">IF(G707="Cancelled", 0, F707*J707)</f>
        <v>599.96</v>
      </c>
      <c r="Q707" s="8"/>
    </row>
    <row r="708" spans="1:17" ht="14.25" customHeight="1" x14ac:dyDescent="0.3">
      <c r="A708" s="2" t="s">
        <v>756</v>
      </c>
      <c r="B708" s="2" t="s">
        <v>58</v>
      </c>
      <c r="C708" s="2" t="s">
        <v>18</v>
      </c>
      <c r="D708" s="2" t="s">
        <v>29</v>
      </c>
      <c r="E708" s="2" t="s">
        <v>47</v>
      </c>
      <c r="F708" s="2">
        <v>2</v>
      </c>
      <c r="G708" s="2" t="s">
        <v>21</v>
      </c>
      <c r="H708" t="str" cm="1">
        <f t="array" ref="H708:J708">_xlfn.XLOOKUP(C708,Products!A:A,Products!B:D)</f>
        <v>Tablet Air</v>
      </c>
      <c r="I708" t="str">
        <v>Electronics</v>
      </c>
      <c r="J708">
        <v>499.99</v>
      </c>
      <c r="K708">
        <f t="shared" si="12"/>
        <v>999.98</v>
      </c>
      <c r="Q708" s="8"/>
    </row>
    <row r="709" spans="1:17" ht="14.25" customHeight="1" x14ac:dyDescent="0.3">
      <c r="A709" s="2" t="s">
        <v>757</v>
      </c>
      <c r="B709" s="2" t="s">
        <v>56</v>
      </c>
      <c r="C709" s="2" t="s">
        <v>7</v>
      </c>
      <c r="D709" s="2" t="s">
        <v>60</v>
      </c>
      <c r="E709" s="2" t="s">
        <v>20</v>
      </c>
      <c r="F709" s="2">
        <v>3</v>
      </c>
      <c r="G709" s="2" t="s">
        <v>21</v>
      </c>
      <c r="H709" t="str" cm="1">
        <f t="array" ref="H709:J709">_xlfn.XLOOKUP(C709,Products!A:A,Products!B:D)</f>
        <v>Smartphone X</v>
      </c>
      <c r="I709" t="str">
        <v>Electronics</v>
      </c>
      <c r="J709">
        <v>999.99</v>
      </c>
      <c r="K709">
        <f t="shared" si="12"/>
        <v>2999.9700000000003</v>
      </c>
      <c r="Q709" s="8"/>
    </row>
    <row r="710" spans="1:17" ht="14.25" customHeight="1" x14ac:dyDescent="0.3">
      <c r="A710" s="2" t="s">
        <v>758</v>
      </c>
      <c r="B710" s="2" t="s">
        <v>27</v>
      </c>
      <c r="C710" s="2" t="s">
        <v>23</v>
      </c>
      <c r="D710" s="2" t="s">
        <v>60</v>
      </c>
      <c r="E710" s="2" t="s">
        <v>47</v>
      </c>
      <c r="F710" s="2">
        <v>1</v>
      </c>
      <c r="G710" s="2" t="s">
        <v>25</v>
      </c>
      <c r="H710" t="str" cm="1">
        <f t="array" ref="H710:J710">_xlfn.XLOOKUP(C710,Products!A:A,Products!B:D)</f>
        <v>4K Monitor</v>
      </c>
      <c r="I710" t="str">
        <v>Electronics</v>
      </c>
      <c r="J710">
        <v>349.99</v>
      </c>
      <c r="K710">
        <f t="shared" si="12"/>
        <v>0</v>
      </c>
      <c r="Q710" s="8"/>
    </row>
    <row r="711" spans="1:17" ht="14.25" customHeight="1" x14ac:dyDescent="0.3">
      <c r="A711" s="2" t="s">
        <v>759</v>
      </c>
      <c r="B711" s="2" t="s">
        <v>58</v>
      </c>
      <c r="C711" s="2" t="s">
        <v>43</v>
      </c>
      <c r="D711" s="2" t="s">
        <v>41</v>
      </c>
      <c r="E711" s="2" t="s">
        <v>24</v>
      </c>
      <c r="F711" s="2">
        <v>3</v>
      </c>
      <c r="G711" s="2" t="s">
        <v>21</v>
      </c>
      <c r="H711" t="str" cm="1">
        <f t="array" ref="H711:J711">_xlfn.XLOOKUP(C711,Products!A:A,Products!B:D)</f>
        <v>Bluetooth Speaker</v>
      </c>
      <c r="I711" t="str">
        <v>Accessories</v>
      </c>
      <c r="J711">
        <v>79.989999999999995</v>
      </c>
      <c r="K711">
        <f t="shared" si="12"/>
        <v>239.96999999999997</v>
      </c>
      <c r="Q711" s="8"/>
    </row>
    <row r="712" spans="1:17" ht="14.25" customHeight="1" x14ac:dyDescent="0.3">
      <c r="A712" s="2" t="s">
        <v>760</v>
      </c>
      <c r="B712" s="2" t="s">
        <v>17</v>
      </c>
      <c r="C712" s="2" t="s">
        <v>7</v>
      </c>
      <c r="D712" s="2" t="s">
        <v>29</v>
      </c>
      <c r="E712" s="2" t="s">
        <v>20</v>
      </c>
      <c r="F712" s="2">
        <v>3</v>
      </c>
      <c r="G712" s="2" t="s">
        <v>21</v>
      </c>
      <c r="H712" t="str" cm="1">
        <f t="array" ref="H712:J712">_xlfn.XLOOKUP(C712,Products!A:A,Products!B:D)</f>
        <v>Smartphone X</v>
      </c>
      <c r="I712" t="str">
        <v>Electronics</v>
      </c>
      <c r="J712">
        <v>999.99</v>
      </c>
      <c r="K712">
        <f t="shared" si="12"/>
        <v>2999.9700000000003</v>
      </c>
      <c r="Q712" s="8"/>
    </row>
    <row r="713" spans="1:17" ht="14.25" customHeight="1" x14ac:dyDescent="0.3">
      <c r="A713" s="2" t="s">
        <v>761</v>
      </c>
      <c r="B713" s="2" t="s">
        <v>54</v>
      </c>
      <c r="C713" s="2" t="s">
        <v>23</v>
      </c>
      <c r="D713" s="2" t="s">
        <v>60</v>
      </c>
      <c r="E713" s="2" t="s">
        <v>20</v>
      </c>
      <c r="F713" s="2">
        <v>3</v>
      </c>
      <c r="G713" s="2" t="s">
        <v>21</v>
      </c>
      <c r="H713" t="str" cm="1">
        <f t="array" ref="H713:J713">_xlfn.XLOOKUP(C713,Products!A:A,Products!B:D)</f>
        <v>4K Monitor</v>
      </c>
      <c r="I713" t="str">
        <v>Electronics</v>
      </c>
      <c r="J713">
        <v>349.99</v>
      </c>
      <c r="K713">
        <f t="shared" si="12"/>
        <v>1049.97</v>
      </c>
      <c r="Q713" s="8"/>
    </row>
    <row r="714" spans="1:17" ht="14.25" customHeight="1" x14ac:dyDescent="0.3">
      <c r="A714" s="2" t="s">
        <v>762</v>
      </c>
      <c r="B714" s="2" t="s">
        <v>56</v>
      </c>
      <c r="C714" s="2" t="s">
        <v>38</v>
      </c>
      <c r="D714" s="2" t="s">
        <v>41</v>
      </c>
      <c r="E714" s="2" t="s">
        <v>47</v>
      </c>
      <c r="F714" s="2">
        <v>1</v>
      </c>
      <c r="G714" s="2" t="s">
        <v>25</v>
      </c>
      <c r="H714" t="str" cm="1">
        <f t="array" ref="H714:J714">_xlfn.XLOOKUP(C714,Products!A:A,Products!B:D)</f>
        <v>Gaming Mouse</v>
      </c>
      <c r="I714" t="str">
        <v>Accessories</v>
      </c>
      <c r="J714">
        <v>49.99</v>
      </c>
      <c r="K714">
        <f t="shared" si="12"/>
        <v>0</v>
      </c>
      <c r="Q714" s="8"/>
    </row>
    <row r="715" spans="1:17" ht="14.25" customHeight="1" x14ac:dyDescent="0.3">
      <c r="A715" s="2" t="s">
        <v>763</v>
      </c>
      <c r="B715" s="2" t="s">
        <v>27</v>
      </c>
      <c r="C715" s="2" t="s">
        <v>38</v>
      </c>
      <c r="D715" s="2" t="s">
        <v>19</v>
      </c>
      <c r="E715" s="2" t="s">
        <v>52</v>
      </c>
      <c r="F715" s="2">
        <v>3</v>
      </c>
      <c r="G715" s="2" t="s">
        <v>21</v>
      </c>
      <c r="H715" t="str" cm="1">
        <f t="array" ref="H715:J715">_xlfn.XLOOKUP(C715,Products!A:A,Products!B:D)</f>
        <v>Gaming Mouse</v>
      </c>
      <c r="I715" t="str">
        <v>Accessories</v>
      </c>
      <c r="J715">
        <v>49.99</v>
      </c>
      <c r="K715">
        <f t="shared" si="12"/>
        <v>149.97</v>
      </c>
      <c r="Q715" s="8"/>
    </row>
    <row r="716" spans="1:17" ht="14.25" customHeight="1" x14ac:dyDescent="0.3">
      <c r="A716" s="2" t="s">
        <v>764</v>
      </c>
      <c r="B716" s="2" t="s">
        <v>17</v>
      </c>
      <c r="C716" s="2" t="s">
        <v>30</v>
      </c>
      <c r="D716" s="2" t="s">
        <v>37</v>
      </c>
      <c r="E716" s="2" t="s">
        <v>52</v>
      </c>
      <c r="F716" s="2">
        <v>3</v>
      </c>
      <c r="G716" s="2" t="s">
        <v>21</v>
      </c>
      <c r="H716" t="str" cm="1">
        <f t="array" ref="H716:J716">_xlfn.XLOOKUP(C716,Products!A:A,Products!B:D)</f>
        <v>Wireless Headphones</v>
      </c>
      <c r="I716" t="str">
        <v>Accessories</v>
      </c>
      <c r="J716">
        <v>149.99</v>
      </c>
      <c r="K716">
        <f t="shared" si="12"/>
        <v>449.97</v>
      </c>
      <c r="Q716" s="8"/>
    </row>
    <row r="717" spans="1:17" ht="14.25" customHeight="1" x14ac:dyDescent="0.3">
      <c r="A717" s="2" t="s">
        <v>765</v>
      </c>
      <c r="B717" s="2" t="s">
        <v>17</v>
      </c>
      <c r="C717" s="2" t="s">
        <v>18</v>
      </c>
      <c r="D717" s="2" t="s">
        <v>19</v>
      </c>
      <c r="E717" s="2" t="s">
        <v>24</v>
      </c>
      <c r="F717" s="2">
        <v>3</v>
      </c>
      <c r="G717" s="2" t="s">
        <v>21</v>
      </c>
      <c r="H717" t="str" cm="1">
        <f t="array" ref="H717:J717">_xlfn.XLOOKUP(C717,Products!A:A,Products!B:D)</f>
        <v>Tablet Air</v>
      </c>
      <c r="I717" t="str">
        <v>Electronics</v>
      </c>
      <c r="J717">
        <v>499.99</v>
      </c>
      <c r="K717">
        <f t="shared" si="12"/>
        <v>1499.97</v>
      </c>
      <c r="Q717" s="8"/>
    </row>
    <row r="718" spans="1:17" ht="14.25" customHeight="1" x14ac:dyDescent="0.3">
      <c r="A718" s="2" t="s">
        <v>766</v>
      </c>
      <c r="B718" s="2" t="s">
        <v>58</v>
      </c>
      <c r="C718" s="2" t="s">
        <v>35</v>
      </c>
      <c r="D718" s="2" t="s">
        <v>60</v>
      </c>
      <c r="E718" s="2" t="s">
        <v>52</v>
      </c>
      <c r="F718" s="2">
        <v>1</v>
      </c>
      <c r="G718" s="2" t="s">
        <v>61</v>
      </c>
      <c r="H718" t="str" cm="1">
        <f t="array" ref="H718:J718">_xlfn.XLOOKUP(C718,Products!A:A,Products!B:D)</f>
        <v>Mechanical Keyboard</v>
      </c>
      <c r="I718" t="str">
        <v>Accessories</v>
      </c>
      <c r="J718">
        <v>89.99</v>
      </c>
      <c r="K718">
        <f t="shared" si="12"/>
        <v>89.99</v>
      </c>
      <c r="Q718" s="8"/>
    </row>
    <row r="719" spans="1:17" ht="14.25" customHeight="1" x14ac:dyDescent="0.3">
      <c r="A719" s="2" t="s">
        <v>767</v>
      </c>
      <c r="B719" s="2" t="s">
        <v>54</v>
      </c>
      <c r="C719" s="2" t="s">
        <v>7</v>
      </c>
      <c r="D719" s="2" t="s">
        <v>41</v>
      </c>
      <c r="E719" s="2" t="s">
        <v>20</v>
      </c>
      <c r="F719" s="2">
        <v>2</v>
      </c>
      <c r="G719" s="2" t="s">
        <v>25</v>
      </c>
      <c r="H719" t="str" cm="1">
        <f t="array" ref="H719:J719">_xlfn.XLOOKUP(C719,Products!A:A,Products!B:D)</f>
        <v>Smartphone X</v>
      </c>
      <c r="I719" t="str">
        <v>Electronics</v>
      </c>
      <c r="J719">
        <v>999.99</v>
      </c>
      <c r="K719">
        <f t="shared" si="12"/>
        <v>0</v>
      </c>
      <c r="Q719" s="8"/>
    </row>
    <row r="720" spans="1:17" ht="14.25" customHeight="1" x14ac:dyDescent="0.3">
      <c r="A720" s="2" t="s">
        <v>768</v>
      </c>
      <c r="B720" s="2" t="s">
        <v>54</v>
      </c>
      <c r="C720" s="2" t="s">
        <v>38</v>
      </c>
      <c r="D720" s="2" t="s">
        <v>29</v>
      </c>
      <c r="E720" s="2" t="s">
        <v>52</v>
      </c>
      <c r="F720" s="2">
        <v>2</v>
      </c>
      <c r="G720" s="2" t="s">
        <v>21</v>
      </c>
      <c r="H720" t="str" cm="1">
        <f t="array" ref="H720:J720">_xlfn.XLOOKUP(C720,Products!A:A,Products!B:D)</f>
        <v>Gaming Mouse</v>
      </c>
      <c r="I720" t="str">
        <v>Accessories</v>
      </c>
      <c r="J720">
        <v>49.99</v>
      </c>
      <c r="K720">
        <f t="shared" si="12"/>
        <v>99.98</v>
      </c>
      <c r="Q720" s="8"/>
    </row>
    <row r="721" spans="1:17" ht="14.25" customHeight="1" x14ac:dyDescent="0.3">
      <c r="A721" s="2" t="s">
        <v>769</v>
      </c>
      <c r="B721" s="2" t="s">
        <v>56</v>
      </c>
      <c r="C721" s="2" t="s">
        <v>18</v>
      </c>
      <c r="D721" s="2" t="s">
        <v>37</v>
      </c>
      <c r="E721" s="2" t="s">
        <v>47</v>
      </c>
      <c r="F721" s="2">
        <v>4</v>
      </c>
      <c r="G721" s="2" t="s">
        <v>25</v>
      </c>
      <c r="H721" t="str" cm="1">
        <f t="array" ref="H721:J721">_xlfn.XLOOKUP(C721,Products!A:A,Products!B:D)</f>
        <v>Tablet Air</v>
      </c>
      <c r="I721" t="str">
        <v>Electronics</v>
      </c>
      <c r="J721">
        <v>499.99</v>
      </c>
      <c r="K721">
        <f t="shared" si="12"/>
        <v>0</v>
      </c>
      <c r="Q721" s="8"/>
    </row>
    <row r="722" spans="1:17" ht="14.25" customHeight="1" x14ac:dyDescent="0.3">
      <c r="A722" s="2" t="s">
        <v>770</v>
      </c>
      <c r="B722" s="2" t="s">
        <v>34</v>
      </c>
      <c r="C722" s="2" t="s">
        <v>18</v>
      </c>
      <c r="D722" s="2" t="s">
        <v>41</v>
      </c>
      <c r="E722" s="2" t="s">
        <v>47</v>
      </c>
      <c r="F722" s="2">
        <v>3</v>
      </c>
      <c r="G722" s="2" t="s">
        <v>21</v>
      </c>
      <c r="H722" t="str" cm="1">
        <f t="array" ref="H722:J722">_xlfn.XLOOKUP(C722,Products!A:A,Products!B:D)</f>
        <v>Tablet Air</v>
      </c>
      <c r="I722" t="str">
        <v>Electronics</v>
      </c>
      <c r="J722">
        <v>499.99</v>
      </c>
      <c r="K722">
        <f t="shared" si="12"/>
        <v>1499.97</v>
      </c>
      <c r="Q722" s="8"/>
    </row>
    <row r="723" spans="1:17" ht="14.25" customHeight="1" x14ac:dyDescent="0.3">
      <c r="A723" s="2" t="s">
        <v>771</v>
      </c>
      <c r="B723" s="2" t="s">
        <v>56</v>
      </c>
      <c r="C723" s="2" t="s">
        <v>43</v>
      </c>
      <c r="D723" s="2" t="s">
        <v>19</v>
      </c>
      <c r="E723" s="2" t="s">
        <v>47</v>
      </c>
      <c r="F723" s="2">
        <v>1</v>
      </c>
      <c r="G723" s="2" t="s">
        <v>21</v>
      </c>
      <c r="H723" t="str" cm="1">
        <f t="array" ref="H723:J723">_xlfn.XLOOKUP(C723,Products!A:A,Products!B:D)</f>
        <v>Bluetooth Speaker</v>
      </c>
      <c r="I723" t="str">
        <v>Accessories</v>
      </c>
      <c r="J723">
        <v>79.989999999999995</v>
      </c>
      <c r="K723">
        <f t="shared" si="12"/>
        <v>79.989999999999995</v>
      </c>
      <c r="Q723" s="8"/>
    </row>
    <row r="724" spans="1:17" ht="14.25" customHeight="1" x14ac:dyDescent="0.3">
      <c r="A724" s="2" t="s">
        <v>772</v>
      </c>
      <c r="B724" s="2" t="s">
        <v>56</v>
      </c>
      <c r="C724" s="2" t="s">
        <v>18</v>
      </c>
      <c r="D724" s="2" t="s">
        <v>41</v>
      </c>
      <c r="E724" s="2" t="s">
        <v>47</v>
      </c>
      <c r="F724" s="2">
        <v>1</v>
      </c>
      <c r="G724" s="2" t="s">
        <v>61</v>
      </c>
      <c r="H724" t="str" cm="1">
        <f t="array" ref="H724:J724">_xlfn.XLOOKUP(C724,Products!A:A,Products!B:D)</f>
        <v>Tablet Air</v>
      </c>
      <c r="I724" t="str">
        <v>Electronics</v>
      </c>
      <c r="J724">
        <v>499.99</v>
      </c>
      <c r="K724">
        <f t="shared" si="12"/>
        <v>499.99</v>
      </c>
      <c r="Q724" s="8"/>
    </row>
    <row r="725" spans="1:17" ht="14.25" customHeight="1" x14ac:dyDescent="0.3">
      <c r="A725" s="2" t="s">
        <v>773</v>
      </c>
      <c r="B725" s="2" t="s">
        <v>58</v>
      </c>
      <c r="C725" s="2" t="s">
        <v>38</v>
      </c>
      <c r="D725" s="2" t="s">
        <v>29</v>
      </c>
      <c r="E725" s="2" t="s">
        <v>47</v>
      </c>
      <c r="F725" s="2">
        <v>2</v>
      </c>
      <c r="G725" s="2" t="s">
        <v>61</v>
      </c>
      <c r="H725" t="str" cm="1">
        <f t="array" ref="H725:J725">_xlfn.XLOOKUP(C725,Products!A:A,Products!B:D)</f>
        <v>Gaming Mouse</v>
      </c>
      <c r="I725" t="str">
        <v>Accessories</v>
      </c>
      <c r="J725">
        <v>49.99</v>
      </c>
      <c r="K725">
        <f t="shared" si="12"/>
        <v>99.98</v>
      </c>
      <c r="Q725" s="8"/>
    </row>
    <row r="726" spans="1:17" ht="14.25" customHeight="1" x14ac:dyDescent="0.3">
      <c r="A726" s="2" t="s">
        <v>774</v>
      </c>
      <c r="B726" s="2" t="s">
        <v>27</v>
      </c>
      <c r="C726" s="2" t="s">
        <v>18</v>
      </c>
      <c r="D726" s="2" t="s">
        <v>37</v>
      </c>
      <c r="E726" s="2" t="s">
        <v>20</v>
      </c>
      <c r="F726" s="2">
        <v>2</v>
      </c>
      <c r="G726" s="2" t="s">
        <v>21</v>
      </c>
      <c r="H726" t="str" cm="1">
        <f t="array" ref="H726:J726">_xlfn.XLOOKUP(C726,Products!A:A,Products!B:D)</f>
        <v>Tablet Air</v>
      </c>
      <c r="I726" t="str">
        <v>Electronics</v>
      </c>
      <c r="J726">
        <v>499.99</v>
      </c>
      <c r="K726">
        <f t="shared" si="12"/>
        <v>999.98</v>
      </c>
      <c r="Q726" s="8"/>
    </row>
    <row r="727" spans="1:17" ht="14.25" customHeight="1" x14ac:dyDescent="0.3">
      <c r="A727" s="2" t="s">
        <v>775</v>
      </c>
      <c r="B727" s="2" t="s">
        <v>56</v>
      </c>
      <c r="C727" s="2" t="s">
        <v>46</v>
      </c>
      <c r="D727" s="2" t="s">
        <v>37</v>
      </c>
      <c r="E727" s="2" t="s">
        <v>52</v>
      </c>
      <c r="F727" s="2">
        <v>2</v>
      </c>
      <c r="G727" s="2" t="s">
        <v>21</v>
      </c>
      <c r="H727" t="str" cm="1">
        <f t="array" ref="H727:J727">_xlfn.XLOOKUP(C727,Products!A:A,Products!B:D)</f>
        <v>Ergonomic Chair</v>
      </c>
      <c r="I727" t="str">
        <v>Furniture</v>
      </c>
      <c r="J727">
        <v>249.99</v>
      </c>
      <c r="K727">
        <f t="shared" si="12"/>
        <v>499.98</v>
      </c>
      <c r="Q727" s="8"/>
    </row>
    <row r="728" spans="1:17" ht="14.25" customHeight="1" x14ac:dyDescent="0.3">
      <c r="A728" s="2" t="s">
        <v>776</v>
      </c>
      <c r="B728" s="2" t="s">
        <v>58</v>
      </c>
      <c r="C728" s="2" t="s">
        <v>35</v>
      </c>
      <c r="D728" s="2" t="s">
        <v>29</v>
      </c>
      <c r="E728" s="2" t="s">
        <v>47</v>
      </c>
      <c r="F728" s="2">
        <v>3</v>
      </c>
      <c r="G728" s="2" t="s">
        <v>61</v>
      </c>
      <c r="H728" t="str" cm="1">
        <f t="array" ref="H728:J728">_xlfn.XLOOKUP(C728,Products!A:A,Products!B:D)</f>
        <v>Mechanical Keyboard</v>
      </c>
      <c r="I728" t="str">
        <v>Accessories</v>
      </c>
      <c r="J728">
        <v>89.99</v>
      </c>
      <c r="K728">
        <f t="shared" si="12"/>
        <v>269.96999999999997</v>
      </c>
      <c r="Q728" s="8"/>
    </row>
    <row r="729" spans="1:17" ht="14.25" customHeight="1" x14ac:dyDescent="0.3">
      <c r="A729" s="2" t="s">
        <v>777</v>
      </c>
      <c r="B729" s="2" t="s">
        <v>54</v>
      </c>
      <c r="C729" s="2" t="s">
        <v>30</v>
      </c>
      <c r="D729" s="2" t="s">
        <v>41</v>
      </c>
      <c r="E729" s="2" t="s">
        <v>52</v>
      </c>
      <c r="F729" s="2">
        <v>4</v>
      </c>
      <c r="G729" s="2" t="s">
        <v>61</v>
      </c>
      <c r="H729" t="str" cm="1">
        <f t="array" ref="H729:J729">_xlfn.XLOOKUP(C729,Products!A:A,Products!B:D)</f>
        <v>Wireless Headphones</v>
      </c>
      <c r="I729" t="str">
        <v>Accessories</v>
      </c>
      <c r="J729">
        <v>149.99</v>
      </c>
      <c r="K729">
        <f t="shared" si="12"/>
        <v>599.96</v>
      </c>
      <c r="Q729" s="8"/>
    </row>
    <row r="730" spans="1:17" ht="14.25" customHeight="1" x14ac:dyDescent="0.3">
      <c r="A730" s="2" t="s">
        <v>778</v>
      </c>
      <c r="B730" s="2" t="s">
        <v>54</v>
      </c>
      <c r="C730" s="2" t="s">
        <v>30</v>
      </c>
      <c r="D730" s="2" t="s">
        <v>29</v>
      </c>
      <c r="E730" s="2" t="s">
        <v>24</v>
      </c>
      <c r="F730" s="2">
        <v>1</v>
      </c>
      <c r="G730" s="2" t="s">
        <v>21</v>
      </c>
      <c r="H730" t="str" cm="1">
        <f t="array" ref="H730:J730">_xlfn.XLOOKUP(C730,Products!A:A,Products!B:D)</f>
        <v>Wireless Headphones</v>
      </c>
      <c r="I730" t="str">
        <v>Accessories</v>
      </c>
      <c r="J730">
        <v>149.99</v>
      </c>
      <c r="K730">
        <f t="shared" si="12"/>
        <v>149.99</v>
      </c>
      <c r="Q730" s="8"/>
    </row>
    <row r="731" spans="1:17" ht="14.25" customHeight="1" x14ac:dyDescent="0.3">
      <c r="A731" s="2" t="s">
        <v>779</v>
      </c>
      <c r="B731" s="2" t="s">
        <v>58</v>
      </c>
      <c r="C731" s="2" t="s">
        <v>23</v>
      </c>
      <c r="D731" s="2" t="s">
        <v>37</v>
      </c>
      <c r="E731" s="2" t="s">
        <v>52</v>
      </c>
      <c r="F731" s="2">
        <v>2</v>
      </c>
      <c r="G731" s="2" t="s">
        <v>21</v>
      </c>
      <c r="H731" t="str" cm="1">
        <f t="array" ref="H731:J731">_xlfn.XLOOKUP(C731,Products!A:A,Products!B:D)</f>
        <v>4K Monitor</v>
      </c>
      <c r="I731" t="str">
        <v>Electronics</v>
      </c>
      <c r="J731">
        <v>349.99</v>
      </c>
      <c r="K731">
        <f t="shared" si="12"/>
        <v>699.98</v>
      </c>
      <c r="Q731" s="8"/>
    </row>
    <row r="732" spans="1:17" ht="14.25" customHeight="1" x14ac:dyDescent="0.3">
      <c r="A732" s="2" t="s">
        <v>780</v>
      </c>
      <c r="B732" s="2" t="s">
        <v>34</v>
      </c>
      <c r="C732" s="2" t="s">
        <v>18</v>
      </c>
      <c r="D732" s="2" t="s">
        <v>29</v>
      </c>
      <c r="E732" s="2" t="s">
        <v>24</v>
      </c>
      <c r="F732" s="2">
        <v>2</v>
      </c>
      <c r="G732" s="2" t="s">
        <v>21</v>
      </c>
      <c r="H732" t="str" cm="1">
        <f t="array" ref="H732:J732">_xlfn.XLOOKUP(C732,Products!A:A,Products!B:D)</f>
        <v>Tablet Air</v>
      </c>
      <c r="I732" t="str">
        <v>Electronics</v>
      </c>
      <c r="J732">
        <v>499.99</v>
      </c>
      <c r="K732">
        <f t="shared" si="12"/>
        <v>999.98</v>
      </c>
      <c r="Q732" s="8"/>
    </row>
    <row r="733" spans="1:17" ht="14.25" customHeight="1" x14ac:dyDescent="0.3">
      <c r="A733" s="2" t="s">
        <v>781</v>
      </c>
      <c r="B733" s="2" t="s">
        <v>54</v>
      </c>
      <c r="C733" s="2" t="s">
        <v>23</v>
      </c>
      <c r="D733" s="2" t="s">
        <v>41</v>
      </c>
      <c r="E733" s="2" t="s">
        <v>47</v>
      </c>
      <c r="F733" s="2">
        <v>5</v>
      </c>
      <c r="G733" s="2" t="s">
        <v>25</v>
      </c>
      <c r="H733" t="str" cm="1">
        <f t="array" ref="H733:J733">_xlfn.XLOOKUP(C733,Products!A:A,Products!B:D)</f>
        <v>4K Monitor</v>
      </c>
      <c r="I733" t="str">
        <v>Electronics</v>
      </c>
      <c r="J733">
        <v>349.99</v>
      </c>
      <c r="K733">
        <f t="shared" si="12"/>
        <v>0</v>
      </c>
      <c r="Q733" s="8"/>
    </row>
    <row r="734" spans="1:17" ht="14.25" customHeight="1" x14ac:dyDescent="0.3">
      <c r="A734" s="2" t="s">
        <v>782</v>
      </c>
      <c r="B734" s="2" t="s">
        <v>56</v>
      </c>
      <c r="C734" s="2" t="s">
        <v>38</v>
      </c>
      <c r="D734" s="2" t="s">
        <v>37</v>
      </c>
      <c r="E734" s="2" t="s">
        <v>47</v>
      </c>
      <c r="F734" s="2">
        <v>3</v>
      </c>
      <c r="G734" s="2" t="s">
        <v>21</v>
      </c>
      <c r="H734" t="str" cm="1">
        <f t="array" ref="H734:J734">_xlfn.XLOOKUP(C734,Products!A:A,Products!B:D)</f>
        <v>Gaming Mouse</v>
      </c>
      <c r="I734" t="str">
        <v>Accessories</v>
      </c>
      <c r="J734">
        <v>49.99</v>
      </c>
      <c r="K734">
        <f t="shared" si="12"/>
        <v>149.97</v>
      </c>
      <c r="Q734" s="8"/>
    </row>
    <row r="735" spans="1:17" ht="14.25" customHeight="1" x14ac:dyDescent="0.3">
      <c r="A735" s="2" t="s">
        <v>783</v>
      </c>
      <c r="B735" s="2" t="s">
        <v>17</v>
      </c>
      <c r="C735" s="2" t="s">
        <v>43</v>
      </c>
      <c r="D735" s="2" t="s">
        <v>19</v>
      </c>
      <c r="E735" s="2" t="s">
        <v>47</v>
      </c>
      <c r="F735" s="2">
        <v>2</v>
      </c>
      <c r="G735" s="2" t="s">
        <v>21</v>
      </c>
      <c r="H735" t="str" cm="1">
        <f t="array" ref="H735:J735">_xlfn.XLOOKUP(C735,Products!A:A,Products!B:D)</f>
        <v>Bluetooth Speaker</v>
      </c>
      <c r="I735" t="str">
        <v>Accessories</v>
      </c>
      <c r="J735">
        <v>79.989999999999995</v>
      </c>
      <c r="K735">
        <f t="shared" si="12"/>
        <v>159.97999999999999</v>
      </c>
      <c r="Q735" s="8"/>
    </row>
    <row r="736" spans="1:17" ht="14.25" customHeight="1" x14ac:dyDescent="0.3">
      <c r="A736" s="2" t="s">
        <v>784</v>
      </c>
      <c r="B736" s="2" t="s">
        <v>17</v>
      </c>
      <c r="C736" s="2" t="s">
        <v>18</v>
      </c>
      <c r="D736" s="2" t="s">
        <v>60</v>
      </c>
      <c r="E736" s="2" t="s">
        <v>20</v>
      </c>
      <c r="F736" s="2">
        <v>5</v>
      </c>
      <c r="G736" s="2" t="s">
        <v>21</v>
      </c>
      <c r="H736" t="str" cm="1">
        <f t="array" ref="H736:J736">_xlfn.XLOOKUP(C736,Products!A:A,Products!B:D)</f>
        <v>Tablet Air</v>
      </c>
      <c r="I736" t="str">
        <v>Electronics</v>
      </c>
      <c r="J736">
        <v>499.99</v>
      </c>
      <c r="K736">
        <f t="shared" si="12"/>
        <v>2499.9499999999998</v>
      </c>
      <c r="Q736" s="8"/>
    </row>
    <row r="737" spans="1:17" ht="14.25" customHeight="1" x14ac:dyDescent="0.3">
      <c r="A737" s="2" t="s">
        <v>785</v>
      </c>
      <c r="B737" s="2" t="s">
        <v>27</v>
      </c>
      <c r="C737" s="2" t="s">
        <v>35</v>
      </c>
      <c r="D737" s="2" t="s">
        <v>19</v>
      </c>
      <c r="E737" s="2" t="s">
        <v>24</v>
      </c>
      <c r="F737" s="2">
        <v>3</v>
      </c>
      <c r="G737" s="2" t="s">
        <v>21</v>
      </c>
      <c r="H737" t="str" cm="1">
        <f t="array" ref="H737:J737">_xlfn.XLOOKUP(C737,Products!A:A,Products!B:D)</f>
        <v>Mechanical Keyboard</v>
      </c>
      <c r="I737" t="str">
        <v>Accessories</v>
      </c>
      <c r="J737">
        <v>89.99</v>
      </c>
      <c r="K737">
        <f t="shared" si="12"/>
        <v>269.96999999999997</v>
      </c>
      <c r="Q737" s="8"/>
    </row>
    <row r="738" spans="1:17" ht="14.25" customHeight="1" x14ac:dyDescent="0.3">
      <c r="A738" s="2" t="s">
        <v>786</v>
      </c>
      <c r="B738" s="2" t="s">
        <v>56</v>
      </c>
      <c r="C738" s="2" t="s">
        <v>46</v>
      </c>
      <c r="D738" s="2" t="s">
        <v>60</v>
      </c>
      <c r="E738" s="2" t="s">
        <v>47</v>
      </c>
      <c r="F738" s="2">
        <v>2</v>
      </c>
      <c r="G738" s="2" t="s">
        <v>61</v>
      </c>
      <c r="H738" t="str" cm="1">
        <f t="array" ref="H738:J738">_xlfn.XLOOKUP(C738,Products!A:A,Products!B:D)</f>
        <v>Ergonomic Chair</v>
      </c>
      <c r="I738" t="str">
        <v>Furniture</v>
      </c>
      <c r="J738">
        <v>249.99</v>
      </c>
      <c r="K738">
        <f t="shared" si="12"/>
        <v>499.98</v>
      </c>
      <c r="Q738" s="8"/>
    </row>
    <row r="739" spans="1:17" ht="14.25" customHeight="1" x14ac:dyDescent="0.3">
      <c r="A739" s="2" t="s">
        <v>787</v>
      </c>
      <c r="B739" s="2" t="s">
        <v>34</v>
      </c>
      <c r="C739" s="2" t="s">
        <v>30</v>
      </c>
      <c r="D739" s="2" t="s">
        <v>19</v>
      </c>
      <c r="E739" s="2" t="s">
        <v>47</v>
      </c>
      <c r="F739" s="2">
        <v>5</v>
      </c>
      <c r="G739" s="2" t="s">
        <v>61</v>
      </c>
      <c r="H739" t="str" cm="1">
        <f t="array" ref="H739:J739">_xlfn.XLOOKUP(C739,Products!A:A,Products!B:D)</f>
        <v>Wireless Headphones</v>
      </c>
      <c r="I739" t="str">
        <v>Accessories</v>
      </c>
      <c r="J739">
        <v>149.99</v>
      </c>
      <c r="K739">
        <f t="shared" si="12"/>
        <v>749.95</v>
      </c>
      <c r="Q739" s="8"/>
    </row>
    <row r="740" spans="1:17" ht="14.25" customHeight="1" x14ac:dyDescent="0.3">
      <c r="A740" s="2" t="s">
        <v>788</v>
      </c>
      <c r="B740" s="2" t="s">
        <v>17</v>
      </c>
      <c r="C740" s="2" t="s">
        <v>23</v>
      </c>
      <c r="D740" s="2" t="s">
        <v>19</v>
      </c>
      <c r="E740" s="2" t="s">
        <v>47</v>
      </c>
      <c r="F740" s="2">
        <v>3</v>
      </c>
      <c r="G740" s="2" t="s">
        <v>21</v>
      </c>
      <c r="H740" t="str" cm="1">
        <f t="array" ref="H740:J740">_xlfn.XLOOKUP(C740,Products!A:A,Products!B:D)</f>
        <v>4K Monitor</v>
      </c>
      <c r="I740" t="str">
        <v>Electronics</v>
      </c>
      <c r="J740">
        <v>349.99</v>
      </c>
      <c r="K740">
        <f t="shared" si="12"/>
        <v>1049.97</v>
      </c>
      <c r="Q740" s="8"/>
    </row>
    <row r="741" spans="1:17" ht="14.25" customHeight="1" x14ac:dyDescent="0.3">
      <c r="A741" s="2" t="s">
        <v>789</v>
      </c>
      <c r="B741" s="2" t="s">
        <v>27</v>
      </c>
      <c r="C741" s="2" t="s">
        <v>38</v>
      </c>
      <c r="D741" s="2" t="s">
        <v>19</v>
      </c>
      <c r="E741" s="2" t="s">
        <v>47</v>
      </c>
      <c r="F741" s="2">
        <v>1</v>
      </c>
      <c r="G741" s="2" t="s">
        <v>21</v>
      </c>
      <c r="H741" t="str" cm="1">
        <f t="array" ref="H741:J741">_xlfn.XLOOKUP(C741,Products!A:A,Products!B:D)</f>
        <v>Gaming Mouse</v>
      </c>
      <c r="I741" t="str">
        <v>Accessories</v>
      </c>
      <c r="J741">
        <v>49.99</v>
      </c>
      <c r="K741">
        <f t="shared" si="12"/>
        <v>49.99</v>
      </c>
      <c r="Q741" s="8"/>
    </row>
    <row r="742" spans="1:17" ht="14.25" customHeight="1" x14ac:dyDescent="0.3">
      <c r="A742" s="2" t="s">
        <v>790</v>
      </c>
      <c r="B742" s="2" t="s">
        <v>34</v>
      </c>
      <c r="C742" s="2" t="s">
        <v>46</v>
      </c>
      <c r="D742" s="2" t="s">
        <v>37</v>
      </c>
      <c r="E742" s="2" t="s">
        <v>47</v>
      </c>
      <c r="F742" s="2">
        <v>2</v>
      </c>
      <c r="G742" s="2" t="s">
        <v>21</v>
      </c>
      <c r="H742" t="str" cm="1">
        <f t="array" ref="H742:J742">_xlfn.XLOOKUP(C742,Products!A:A,Products!B:D)</f>
        <v>Ergonomic Chair</v>
      </c>
      <c r="I742" t="str">
        <v>Furniture</v>
      </c>
      <c r="J742">
        <v>249.99</v>
      </c>
      <c r="K742">
        <f t="shared" si="12"/>
        <v>499.98</v>
      </c>
      <c r="Q742" s="8"/>
    </row>
    <row r="743" spans="1:17" ht="14.25" customHeight="1" x14ac:dyDescent="0.3">
      <c r="A743" s="2" t="s">
        <v>791</v>
      </c>
      <c r="B743" s="2" t="s">
        <v>56</v>
      </c>
      <c r="C743" s="2" t="s">
        <v>18</v>
      </c>
      <c r="D743" s="2" t="s">
        <v>37</v>
      </c>
      <c r="E743" s="2" t="s">
        <v>20</v>
      </c>
      <c r="F743" s="2">
        <v>5</v>
      </c>
      <c r="G743" s="2" t="s">
        <v>21</v>
      </c>
      <c r="H743" t="str" cm="1">
        <f t="array" ref="H743:J743">_xlfn.XLOOKUP(C743,Products!A:A,Products!B:D)</f>
        <v>Tablet Air</v>
      </c>
      <c r="I743" t="str">
        <v>Electronics</v>
      </c>
      <c r="J743">
        <v>499.99</v>
      </c>
      <c r="K743">
        <f t="shared" si="12"/>
        <v>2499.9499999999998</v>
      </c>
      <c r="Q743" s="8"/>
    </row>
    <row r="744" spans="1:17" ht="14.25" customHeight="1" x14ac:dyDescent="0.3">
      <c r="A744" s="2" t="s">
        <v>792</v>
      </c>
      <c r="B744" s="2" t="s">
        <v>17</v>
      </c>
      <c r="C744" s="2" t="s">
        <v>7</v>
      </c>
      <c r="D744" s="2" t="s">
        <v>60</v>
      </c>
      <c r="E744" s="2" t="s">
        <v>24</v>
      </c>
      <c r="F744" s="2">
        <v>5</v>
      </c>
      <c r="G744" s="2" t="s">
        <v>25</v>
      </c>
      <c r="H744" t="str" cm="1">
        <f t="array" ref="H744:J744">_xlfn.XLOOKUP(C744,Products!A:A,Products!B:D)</f>
        <v>Smartphone X</v>
      </c>
      <c r="I744" t="str">
        <v>Electronics</v>
      </c>
      <c r="J744">
        <v>999.99</v>
      </c>
      <c r="K744">
        <f t="shared" si="12"/>
        <v>0</v>
      </c>
      <c r="Q744" s="8"/>
    </row>
    <row r="745" spans="1:17" ht="14.25" customHeight="1" x14ac:dyDescent="0.3">
      <c r="A745" s="2" t="s">
        <v>793</v>
      </c>
      <c r="B745" s="2" t="s">
        <v>56</v>
      </c>
      <c r="C745" s="2" t="s">
        <v>30</v>
      </c>
      <c r="D745" s="2" t="s">
        <v>37</v>
      </c>
      <c r="E745" s="2" t="s">
        <v>47</v>
      </c>
      <c r="F745" s="2">
        <v>5</v>
      </c>
      <c r="G745" s="2" t="s">
        <v>21</v>
      </c>
      <c r="H745" t="str" cm="1">
        <f t="array" ref="H745:J745">_xlfn.XLOOKUP(C745,Products!A:A,Products!B:D)</f>
        <v>Wireless Headphones</v>
      </c>
      <c r="I745" t="str">
        <v>Accessories</v>
      </c>
      <c r="J745">
        <v>149.99</v>
      </c>
      <c r="K745">
        <f t="shared" si="12"/>
        <v>749.95</v>
      </c>
      <c r="Q745" s="8"/>
    </row>
    <row r="746" spans="1:17" ht="14.25" customHeight="1" x14ac:dyDescent="0.3">
      <c r="A746" s="2" t="s">
        <v>794</v>
      </c>
      <c r="B746" s="2" t="s">
        <v>34</v>
      </c>
      <c r="C746" s="2" t="s">
        <v>7</v>
      </c>
      <c r="D746" s="2" t="s">
        <v>41</v>
      </c>
      <c r="E746" s="2" t="s">
        <v>20</v>
      </c>
      <c r="F746" s="2">
        <v>4</v>
      </c>
      <c r="G746" s="2" t="s">
        <v>21</v>
      </c>
      <c r="H746" t="str" cm="1">
        <f t="array" ref="H746:J746">_xlfn.XLOOKUP(C746,Products!A:A,Products!B:D)</f>
        <v>Smartphone X</v>
      </c>
      <c r="I746" t="str">
        <v>Electronics</v>
      </c>
      <c r="J746">
        <v>999.99</v>
      </c>
      <c r="K746">
        <f t="shared" si="12"/>
        <v>3999.96</v>
      </c>
      <c r="Q746" s="8"/>
    </row>
    <row r="747" spans="1:17" ht="14.25" customHeight="1" x14ac:dyDescent="0.3">
      <c r="A747" s="2" t="s">
        <v>795</v>
      </c>
      <c r="B747" s="2" t="s">
        <v>56</v>
      </c>
      <c r="C747" s="2" t="s">
        <v>18</v>
      </c>
      <c r="D747" s="2" t="s">
        <v>29</v>
      </c>
      <c r="E747" s="2" t="s">
        <v>47</v>
      </c>
      <c r="F747" s="2">
        <v>3</v>
      </c>
      <c r="G747" s="2" t="s">
        <v>61</v>
      </c>
      <c r="H747" t="str" cm="1">
        <f t="array" ref="H747:J747">_xlfn.XLOOKUP(C747,Products!A:A,Products!B:D)</f>
        <v>Tablet Air</v>
      </c>
      <c r="I747" t="str">
        <v>Electronics</v>
      </c>
      <c r="J747">
        <v>499.99</v>
      </c>
      <c r="K747">
        <f t="shared" si="12"/>
        <v>1499.97</v>
      </c>
      <c r="Q747" s="8"/>
    </row>
    <row r="748" spans="1:17" ht="14.25" customHeight="1" x14ac:dyDescent="0.3">
      <c r="A748" s="2" t="s">
        <v>796</v>
      </c>
      <c r="B748" s="2" t="s">
        <v>58</v>
      </c>
      <c r="C748" s="2" t="s">
        <v>35</v>
      </c>
      <c r="D748" s="2" t="s">
        <v>41</v>
      </c>
      <c r="E748" s="2" t="s">
        <v>47</v>
      </c>
      <c r="F748" s="2">
        <v>5</v>
      </c>
      <c r="G748" s="2" t="s">
        <v>21</v>
      </c>
      <c r="H748" t="str" cm="1">
        <f t="array" ref="H748:J748">_xlfn.XLOOKUP(C748,Products!A:A,Products!B:D)</f>
        <v>Mechanical Keyboard</v>
      </c>
      <c r="I748" t="str">
        <v>Accessories</v>
      </c>
      <c r="J748">
        <v>89.99</v>
      </c>
      <c r="K748">
        <f t="shared" si="12"/>
        <v>449.95</v>
      </c>
      <c r="Q748" s="8"/>
    </row>
    <row r="749" spans="1:17" ht="14.25" customHeight="1" x14ac:dyDescent="0.3">
      <c r="A749" s="2" t="s">
        <v>797</v>
      </c>
      <c r="B749" s="2" t="s">
        <v>27</v>
      </c>
      <c r="C749" s="2" t="s">
        <v>23</v>
      </c>
      <c r="D749" s="2" t="s">
        <v>37</v>
      </c>
      <c r="E749" s="2" t="s">
        <v>47</v>
      </c>
      <c r="F749" s="2">
        <v>5</v>
      </c>
      <c r="G749" s="2" t="s">
        <v>21</v>
      </c>
      <c r="H749" t="str" cm="1">
        <f t="array" ref="H749:J749">_xlfn.XLOOKUP(C749,Products!A:A,Products!B:D)</f>
        <v>4K Monitor</v>
      </c>
      <c r="I749" t="str">
        <v>Electronics</v>
      </c>
      <c r="J749">
        <v>349.99</v>
      </c>
      <c r="K749">
        <f t="shared" si="12"/>
        <v>1749.95</v>
      </c>
      <c r="Q749" s="8"/>
    </row>
    <row r="750" spans="1:17" ht="14.25" customHeight="1" x14ac:dyDescent="0.3">
      <c r="A750" s="2" t="s">
        <v>798</v>
      </c>
      <c r="B750" s="2" t="s">
        <v>17</v>
      </c>
      <c r="C750" s="2" t="s">
        <v>46</v>
      </c>
      <c r="D750" s="2" t="s">
        <v>19</v>
      </c>
      <c r="E750" s="2" t="s">
        <v>52</v>
      </c>
      <c r="F750" s="2">
        <v>2</v>
      </c>
      <c r="G750" s="2" t="s">
        <v>21</v>
      </c>
      <c r="H750" t="str" cm="1">
        <f t="array" ref="H750:J750">_xlfn.XLOOKUP(C750,Products!A:A,Products!B:D)</f>
        <v>Ergonomic Chair</v>
      </c>
      <c r="I750" t="str">
        <v>Furniture</v>
      </c>
      <c r="J750">
        <v>249.99</v>
      </c>
      <c r="K750">
        <f t="shared" si="12"/>
        <v>499.98</v>
      </c>
      <c r="Q750" s="8"/>
    </row>
    <row r="751" spans="1:17" ht="14.25" customHeight="1" x14ac:dyDescent="0.3">
      <c r="A751" s="2" t="s">
        <v>799</v>
      </c>
      <c r="B751" s="2" t="s">
        <v>56</v>
      </c>
      <c r="C751" s="2" t="s">
        <v>35</v>
      </c>
      <c r="D751" s="2" t="s">
        <v>19</v>
      </c>
      <c r="E751" s="2" t="s">
        <v>47</v>
      </c>
      <c r="F751" s="2">
        <v>4</v>
      </c>
      <c r="G751" s="2" t="s">
        <v>25</v>
      </c>
      <c r="H751" t="str" cm="1">
        <f t="array" ref="H751:J751">_xlfn.XLOOKUP(C751,Products!A:A,Products!B:D)</f>
        <v>Mechanical Keyboard</v>
      </c>
      <c r="I751" t="str">
        <v>Accessories</v>
      </c>
      <c r="J751">
        <v>89.99</v>
      </c>
      <c r="K751">
        <f t="shared" si="12"/>
        <v>0</v>
      </c>
      <c r="Q751" s="8"/>
    </row>
    <row r="752" spans="1:17" ht="14.25" customHeight="1" x14ac:dyDescent="0.3">
      <c r="A752" s="2" t="s">
        <v>800</v>
      </c>
      <c r="B752" s="2" t="s">
        <v>27</v>
      </c>
      <c r="C752" s="2" t="s">
        <v>43</v>
      </c>
      <c r="D752" s="2" t="s">
        <v>29</v>
      </c>
      <c r="E752" s="2" t="s">
        <v>20</v>
      </c>
      <c r="F752" s="2">
        <v>2</v>
      </c>
      <c r="G752" s="2" t="s">
        <v>21</v>
      </c>
      <c r="H752" t="str" cm="1">
        <f t="array" ref="H752:J752">_xlfn.XLOOKUP(C752,Products!A:A,Products!B:D)</f>
        <v>Bluetooth Speaker</v>
      </c>
      <c r="I752" t="str">
        <v>Accessories</v>
      </c>
      <c r="J752">
        <v>79.989999999999995</v>
      </c>
      <c r="K752">
        <f t="shared" si="12"/>
        <v>159.97999999999999</v>
      </c>
      <c r="Q752" s="8"/>
    </row>
    <row r="753" spans="1:17" ht="14.25" customHeight="1" x14ac:dyDescent="0.3">
      <c r="A753" s="2" t="s">
        <v>801</v>
      </c>
      <c r="B753" s="2" t="s">
        <v>27</v>
      </c>
      <c r="C753" s="2" t="s">
        <v>46</v>
      </c>
      <c r="D753" s="2" t="s">
        <v>41</v>
      </c>
      <c r="E753" s="2" t="s">
        <v>24</v>
      </c>
      <c r="F753" s="2">
        <v>3</v>
      </c>
      <c r="G753" s="2" t="s">
        <v>21</v>
      </c>
      <c r="H753" t="str" cm="1">
        <f t="array" ref="H753:J753">_xlfn.XLOOKUP(C753,Products!A:A,Products!B:D)</f>
        <v>Ergonomic Chair</v>
      </c>
      <c r="I753" t="str">
        <v>Furniture</v>
      </c>
      <c r="J753">
        <v>249.99</v>
      </c>
      <c r="K753">
        <f t="shared" si="12"/>
        <v>749.97</v>
      </c>
      <c r="Q753" s="8"/>
    </row>
    <row r="754" spans="1:17" ht="14.25" customHeight="1" x14ac:dyDescent="0.3">
      <c r="A754" s="2" t="s">
        <v>802</v>
      </c>
      <c r="B754" s="2" t="s">
        <v>56</v>
      </c>
      <c r="C754" s="2" t="s">
        <v>30</v>
      </c>
      <c r="D754" s="2" t="s">
        <v>19</v>
      </c>
      <c r="E754" s="2" t="s">
        <v>20</v>
      </c>
      <c r="F754" s="2">
        <v>3</v>
      </c>
      <c r="G754" s="2" t="s">
        <v>21</v>
      </c>
      <c r="H754" t="str" cm="1">
        <f t="array" ref="H754:J754">_xlfn.XLOOKUP(C754,Products!A:A,Products!B:D)</f>
        <v>Wireless Headphones</v>
      </c>
      <c r="I754" t="str">
        <v>Accessories</v>
      </c>
      <c r="J754">
        <v>149.99</v>
      </c>
      <c r="K754">
        <f t="shared" si="12"/>
        <v>449.97</v>
      </c>
      <c r="Q754" s="8"/>
    </row>
    <row r="755" spans="1:17" ht="14.25" customHeight="1" x14ac:dyDescent="0.3">
      <c r="A755" s="2" t="s">
        <v>803</v>
      </c>
      <c r="B755" s="2" t="s">
        <v>34</v>
      </c>
      <c r="C755" s="2" t="s">
        <v>35</v>
      </c>
      <c r="D755" s="2" t="s">
        <v>19</v>
      </c>
      <c r="E755" s="2" t="s">
        <v>52</v>
      </c>
      <c r="F755" s="2">
        <v>5</v>
      </c>
      <c r="G755" s="2" t="s">
        <v>21</v>
      </c>
      <c r="H755" t="str" cm="1">
        <f t="array" ref="H755:J755">_xlfn.XLOOKUP(C755,Products!A:A,Products!B:D)</f>
        <v>Mechanical Keyboard</v>
      </c>
      <c r="I755" t="str">
        <v>Accessories</v>
      </c>
      <c r="J755">
        <v>89.99</v>
      </c>
      <c r="K755">
        <f t="shared" si="12"/>
        <v>449.95</v>
      </c>
      <c r="Q755" s="8"/>
    </row>
    <row r="756" spans="1:17" ht="14.25" customHeight="1" x14ac:dyDescent="0.3">
      <c r="A756" s="2" t="s">
        <v>804</v>
      </c>
      <c r="B756" s="2" t="s">
        <v>27</v>
      </c>
      <c r="C756" s="2" t="s">
        <v>46</v>
      </c>
      <c r="D756" s="2" t="s">
        <v>41</v>
      </c>
      <c r="E756" s="2" t="s">
        <v>20</v>
      </c>
      <c r="F756" s="2">
        <v>3</v>
      </c>
      <c r="G756" s="2" t="s">
        <v>61</v>
      </c>
      <c r="H756" t="str" cm="1">
        <f t="array" ref="H756:J756">_xlfn.XLOOKUP(C756,Products!A:A,Products!B:D)</f>
        <v>Ergonomic Chair</v>
      </c>
      <c r="I756" t="str">
        <v>Furniture</v>
      </c>
      <c r="J756">
        <v>249.99</v>
      </c>
      <c r="K756">
        <f t="shared" si="12"/>
        <v>749.97</v>
      </c>
      <c r="Q756" s="8"/>
    </row>
    <row r="757" spans="1:17" ht="14.25" customHeight="1" x14ac:dyDescent="0.3">
      <c r="A757" s="2" t="s">
        <v>805</v>
      </c>
      <c r="B757" s="2" t="s">
        <v>34</v>
      </c>
      <c r="C757" s="2" t="s">
        <v>23</v>
      </c>
      <c r="D757" s="2" t="s">
        <v>60</v>
      </c>
      <c r="E757" s="2" t="s">
        <v>47</v>
      </c>
      <c r="F757" s="2">
        <v>3</v>
      </c>
      <c r="G757" s="2" t="s">
        <v>61</v>
      </c>
      <c r="H757" t="str" cm="1">
        <f t="array" ref="H757:J757">_xlfn.XLOOKUP(C757,Products!A:A,Products!B:D)</f>
        <v>4K Monitor</v>
      </c>
      <c r="I757" t="str">
        <v>Electronics</v>
      </c>
      <c r="J757">
        <v>349.99</v>
      </c>
      <c r="K757">
        <f t="shared" si="12"/>
        <v>1049.97</v>
      </c>
      <c r="Q757" s="8"/>
    </row>
    <row r="758" spans="1:17" ht="14.25" customHeight="1" x14ac:dyDescent="0.3">
      <c r="A758" s="2" t="s">
        <v>806</v>
      </c>
      <c r="B758" s="2" t="s">
        <v>27</v>
      </c>
      <c r="C758" s="2" t="s">
        <v>38</v>
      </c>
      <c r="D758" s="2" t="s">
        <v>60</v>
      </c>
      <c r="E758" s="2" t="s">
        <v>20</v>
      </c>
      <c r="F758" s="2">
        <v>4</v>
      </c>
      <c r="G758" s="2" t="s">
        <v>21</v>
      </c>
      <c r="H758" t="str" cm="1">
        <f t="array" ref="H758:J758">_xlfn.XLOOKUP(C758,Products!A:A,Products!B:D)</f>
        <v>Gaming Mouse</v>
      </c>
      <c r="I758" t="str">
        <v>Accessories</v>
      </c>
      <c r="J758">
        <v>49.99</v>
      </c>
      <c r="K758">
        <f t="shared" si="12"/>
        <v>199.96</v>
      </c>
      <c r="Q758" s="8"/>
    </row>
    <row r="759" spans="1:17" ht="14.25" customHeight="1" x14ac:dyDescent="0.3">
      <c r="A759" s="2" t="s">
        <v>807</v>
      </c>
      <c r="B759" s="2" t="s">
        <v>34</v>
      </c>
      <c r="C759" s="2" t="s">
        <v>46</v>
      </c>
      <c r="D759" s="2" t="s">
        <v>37</v>
      </c>
      <c r="E759" s="2" t="s">
        <v>24</v>
      </c>
      <c r="F759" s="2">
        <v>1</v>
      </c>
      <c r="G759" s="2" t="s">
        <v>21</v>
      </c>
      <c r="H759" t="str" cm="1">
        <f t="array" ref="H759:J759">_xlfn.XLOOKUP(C759,Products!A:A,Products!B:D)</f>
        <v>Ergonomic Chair</v>
      </c>
      <c r="I759" t="str">
        <v>Furniture</v>
      </c>
      <c r="J759">
        <v>249.99</v>
      </c>
      <c r="K759">
        <f t="shared" si="12"/>
        <v>249.99</v>
      </c>
      <c r="Q759" s="8"/>
    </row>
    <row r="760" spans="1:17" ht="14.25" customHeight="1" x14ac:dyDescent="0.3">
      <c r="A760" s="2" t="s">
        <v>808</v>
      </c>
      <c r="B760" s="2" t="s">
        <v>56</v>
      </c>
      <c r="C760" s="2" t="s">
        <v>18</v>
      </c>
      <c r="D760" s="2" t="s">
        <v>41</v>
      </c>
      <c r="E760" s="2" t="s">
        <v>20</v>
      </c>
      <c r="F760" s="2">
        <v>4</v>
      </c>
      <c r="G760" s="2" t="s">
        <v>21</v>
      </c>
      <c r="H760" t="str" cm="1">
        <f t="array" ref="H760:J760">_xlfn.XLOOKUP(C760,Products!A:A,Products!B:D)</f>
        <v>Tablet Air</v>
      </c>
      <c r="I760" t="str">
        <v>Electronics</v>
      </c>
      <c r="J760">
        <v>499.99</v>
      </c>
      <c r="K760">
        <f t="shared" si="12"/>
        <v>1999.96</v>
      </c>
      <c r="Q760" s="8"/>
    </row>
    <row r="761" spans="1:17" ht="14.25" customHeight="1" x14ac:dyDescent="0.3">
      <c r="A761" s="2" t="s">
        <v>809</v>
      </c>
      <c r="B761" s="2" t="s">
        <v>34</v>
      </c>
      <c r="C761" s="2" t="s">
        <v>7</v>
      </c>
      <c r="D761" s="2" t="s">
        <v>60</v>
      </c>
      <c r="E761" s="2" t="s">
        <v>47</v>
      </c>
      <c r="F761" s="2">
        <v>5</v>
      </c>
      <c r="G761" s="2" t="s">
        <v>21</v>
      </c>
      <c r="H761" t="str" cm="1">
        <f t="array" ref="H761:J761">_xlfn.XLOOKUP(C761,Products!A:A,Products!B:D)</f>
        <v>Smartphone X</v>
      </c>
      <c r="I761" t="str">
        <v>Electronics</v>
      </c>
      <c r="J761">
        <v>999.99</v>
      </c>
      <c r="K761">
        <f t="shared" si="12"/>
        <v>4999.95</v>
      </c>
      <c r="Q761" s="8"/>
    </row>
    <row r="762" spans="1:17" ht="14.25" customHeight="1" x14ac:dyDescent="0.3">
      <c r="A762" s="2" t="s">
        <v>810</v>
      </c>
      <c r="B762" s="2" t="s">
        <v>34</v>
      </c>
      <c r="C762" s="2" t="s">
        <v>7</v>
      </c>
      <c r="D762" s="2" t="s">
        <v>41</v>
      </c>
      <c r="E762" s="2" t="s">
        <v>47</v>
      </c>
      <c r="F762" s="2">
        <v>3</v>
      </c>
      <c r="G762" s="2" t="s">
        <v>21</v>
      </c>
      <c r="H762" t="str" cm="1">
        <f t="array" ref="H762:J762">_xlfn.XLOOKUP(C762,Products!A:A,Products!B:D)</f>
        <v>Smartphone X</v>
      </c>
      <c r="I762" t="str">
        <v>Electronics</v>
      </c>
      <c r="J762">
        <v>999.99</v>
      </c>
      <c r="K762">
        <f t="shared" si="12"/>
        <v>2999.9700000000003</v>
      </c>
      <c r="Q762" s="8"/>
    </row>
    <row r="763" spans="1:17" ht="14.25" customHeight="1" x14ac:dyDescent="0.3">
      <c r="A763" s="2" t="s">
        <v>811</v>
      </c>
      <c r="B763" s="2" t="s">
        <v>54</v>
      </c>
      <c r="C763" s="2" t="s">
        <v>23</v>
      </c>
      <c r="D763" s="2" t="s">
        <v>19</v>
      </c>
      <c r="E763" s="2" t="s">
        <v>24</v>
      </c>
      <c r="F763" s="2">
        <v>4</v>
      </c>
      <c r="G763" s="2" t="s">
        <v>25</v>
      </c>
      <c r="H763" t="str" cm="1">
        <f t="array" ref="H763:J763">_xlfn.XLOOKUP(C763,Products!A:A,Products!B:D)</f>
        <v>4K Monitor</v>
      </c>
      <c r="I763" t="str">
        <v>Electronics</v>
      </c>
      <c r="J763">
        <v>349.99</v>
      </c>
      <c r="K763">
        <f t="shared" si="12"/>
        <v>0</v>
      </c>
      <c r="Q763" s="8"/>
    </row>
    <row r="764" spans="1:17" ht="14.25" customHeight="1" x14ac:dyDescent="0.3">
      <c r="A764" s="2" t="s">
        <v>812</v>
      </c>
      <c r="B764" s="2" t="s">
        <v>27</v>
      </c>
      <c r="C764" s="2" t="s">
        <v>43</v>
      </c>
      <c r="D764" s="2" t="s">
        <v>37</v>
      </c>
      <c r="E764" s="2" t="s">
        <v>20</v>
      </c>
      <c r="F764" s="2">
        <v>4</v>
      </c>
      <c r="G764" s="2" t="s">
        <v>21</v>
      </c>
      <c r="H764" t="str" cm="1">
        <f t="array" ref="H764:J764">_xlfn.XLOOKUP(C764,Products!A:A,Products!B:D)</f>
        <v>Bluetooth Speaker</v>
      </c>
      <c r="I764" t="str">
        <v>Accessories</v>
      </c>
      <c r="J764">
        <v>79.989999999999995</v>
      </c>
      <c r="K764">
        <f t="shared" si="12"/>
        <v>319.95999999999998</v>
      </c>
      <c r="Q764" s="8"/>
    </row>
    <row r="765" spans="1:17" ht="14.25" customHeight="1" x14ac:dyDescent="0.3">
      <c r="A765" s="2" t="s">
        <v>813</v>
      </c>
      <c r="B765" s="2" t="s">
        <v>34</v>
      </c>
      <c r="C765" s="2" t="s">
        <v>38</v>
      </c>
      <c r="D765" s="2" t="s">
        <v>37</v>
      </c>
      <c r="E765" s="2" t="s">
        <v>52</v>
      </c>
      <c r="F765" s="2">
        <v>5</v>
      </c>
      <c r="G765" s="2" t="s">
        <v>21</v>
      </c>
      <c r="H765" t="str" cm="1">
        <f t="array" ref="H765:J765">_xlfn.XLOOKUP(C765,Products!A:A,Products!B:D)</f>
        <v>Gaming Mouse</v>
      </c>
      <c r="I765" t="str">
        <v>Accessories</v>
      </c>
      <c r="J765">
        <v>49.99</v>
      </c>
      <c r="K765">
        <f t="shared" si="12"/>
        <v>249.95000000000002</v>
      </c>
      <c r="Q765" s="8"/>
    </row>
    <row r="766" spans="1:17" ht="14.25" customHeight="1" x14ac:dyDescent="0.3">
      <c r="A766" s="2" t="s">
        <v>814</v>
      </c>
      <c r="B766" s="2" t="s">
        <v>17</v>
      </c>
      <c r="C766" s="2" t="s">
        <v>35</v>
      </c>
      <c r="D766" s="2" t="s">
        <v>60</v>
      </c>
      <c r="E766" s="2" t="s">
        <v>24</v>
      </c>
      <c r="F766" s="2">
        <v>1</v>
      </c>
      <c r="G766" s="2" t="s">
        <v>25</v>
      </c>
      <c r="H766" t="str" cm="1">
        <f t="array" ref="H766:J766">_xlfn.XLOOKUP(C766,Products!A:A,Products!B:D)</f>
        <v>Mechanical Keyboard</v>
      </c>
      <c r="I766" t="str">
        <v>Accessories</v>
      </c>
      <c r="J766">
        <v>89.99</v>
      </c>
      <c r="K766">
        <f t="shared" si="12"/>
        <v>0</v>
      </c>
      <c r="Q766" s="8"/>
    </row>
    <row r="767" spans="1:17" ht="14.25" customHeight="1" x14ac:dyDescent="0.3">
      <c r="A767" s="2" t="s">
        <v>815</v>
      </c>
      <c r="B767" s="2" t="s">
        <v>27</v>
      </c>
      <c r="C767" s="2" t="s">
        <v>38</v>
      </c>
      <c r="D767" s="2" t="s">
        <v>29</v>
      </c>
      <c r="E767" s="2" t="s">
        <v>24</v>
      </c>
      <c r="F767" s="2">
        <v>1</v>
      </c>
      <c r="G767" s="2" t="s">
        <v>21</v>
      </c>
      <c r="H767" t="str" cm="1">
        <f t="array" ref="H767:J767">_xlfn.XLOOKUP(C767,Products!A:A,Products!B:D)</f>
        <v>Gaming Mouse</v>
      </c>
      <c r="I767" t="str">
        <v>Accessories</v>
      </c>
      <c r="J767">
        <v>49.99</v>
      </c>
      <c r="K767">
        <f t="shared" si="12"/>
        <v>49.99</v>
      </c>
      <c r="Q767" s="8"/>
    </row>
    <row r="768" spans="1:17" ht="14.25" customHeight="1" x14ac:dyDescent="0.3">
      <c r="A768" s="2" t="s">
        <v>816</v>
      </c>
      <c r="B768" s="2" t="s">
        <v>34</v>
      </c>
      <c r="C768" s="2" t="s">
        <v>38</v>
      </c>
      <c r="D768" s="2" t="s">
        <v>60</v>
      </c>
      <c r="E768" s="2" t="s">
        <v>20</v>
      </c>
      <c r="F768" s="2">
        <v>3</v>
      </c>
      <c r="G768" s="2" t="s">
        <v>61</v>
      </c>
      <c r="H768" t="str" cm="1">
        <f t="array" ref="H768:J768">_xlfn.XLOOKUP(C768,Products!A:A,Products!B:D)</f>
        <v>Gaming Mouse</v>
      </c>
      <c r="I768" t="str">
        <v>Accessories</v>
      </c>
      <c r="J768">
        <v>49.99</v>
      </c>
      <c r="K768">
        <f t="shared" si="12"/>
        <v>149.97</v>
      </c>
      <c r="Q768" s="8"/>
    </row>
    <row r="769" spans="1:17" ht="14.25" customHeight="1" x14ac:dyDescent="0.3">
      <c r="A769" s="2" t="s">
        <v>817</v>
      </c>
      <c r="B769" s="2" t="s">
        <v>54</v>
      </c>
      <c r="C769" s="2" t="s">
        <v>18</v>
      </c>
      <c r="D769" s="2" t="s">
        <v>41</v>
      </c>
      <c r="E769" s="2" t="s">
        <v>52</v>
      </c>
      <c r="F769" s="2">
        <v>2</v>
      </c>
      <c r="G769" s="2" t="s">
        <v>21</v>
      </c>
      <c r="H769" t="str" cm="1">
        <f t="array" ref="H769:J769">_xlfn.XLOOKUP(C769,Products!A:A,Products!B:D)</f>
        <v>Tablet Air</v>
      </c>
      <c r="I769" t="str">
        <v>Electronics</v>
      </c>
      <c r="J769">
        <v>499.99</v>
      </c>
      <c r="K769">
        <f t="shared" si="12"/>
        <v>999.98</v>
      </c>
      <c r="Q769" s="8"/>
    </row>
    <row r="770" spans="1:17" ht="14.25" customHeight="1" x14ac:dyDescent="0.3">
      <c r="A770" s="2" t="s">
        <v>818</v>
      </c>
      <c r="B770" s="2" t="s">
        <v>56</v>
      </c>
      <c r="C770" s="2" t="s">
        <v>30</v>
      </c>
      <c r="D770" s="2" t="s">
        <v>29</v>
      </c>
      <c r="E770" s="2" t="s">
        <v>20</v>
      </c>
      <c r="F770" s="2">
        <v>4</v>
      </c>
      <c r="G770" s="2" t="s">
        <v>21</v>
      </c>
      <c r="H770" t="str" cm="1">
        <f t="array" ref="H770:J770">_xlfn.XLOOKUP(C770,Products!A:A,Products!B:D)</f>
        <v>Wireless Headphones</v>
      </c>
      <c r="I770" t="str">
        <v>Accessories</v>
      </c>
      <c r="J770">
        <v>149.99</v>
      </c>
      <c r="K770">
        <f t="shared" si="12"/>
        <v>599.96</v>
      </c>
      <c r="Q770" s="8"/>
    </row>
    <row r="771" spans="1:17" ht="14.25" customHeight="1" x14ac:dyDescent="0.3">
      <c r="A771" s="2" t="s">
        <v>819</v>
      </c>
      <c r="B771" s="2" t="s">
        <v>58</v>
      </c>
      <c r="C771" s="2" t="s">
        <v>7</v>
      </c>
      <c r="D771" s="2" t="s">
        <v>37</v>
      </c>
      <c r="E771" s="2" t="s">
        <v>47</v>
      </c>
      <c r="F771" s="2">
        <v>3</v>
      </c>
      <c r="G771" s="2" t="s">
        <v>21</v>
      </c>
      <c r="H771" t="str" cm="1">
        <f t="array" ref="H771:J771">_xlfn.XLOOKUP(C771,Products!A:A,Products!B:D)</f>
        <v>Smartphone X</v>
      </c>
      <c r="I771" t="str">
        <v>Electronics</v>
      </c>
      <c r="J771">
        <v>999.99</v>
      </c>
      <c r="K771">
        <f t="shared" ref="K771:K801" si="13">IF(G771="Cancelled", 0, F771*J771)</f>
        <v>2999.9700000000003</v>
      </c>
      <c r="Q771" s="8"/>
    </row>
    <row r="772" spans="1:17" ht="14.25" customHeight="1" x14ac:dyDescent="0.3">
      <c r="A772" s="2" t="s">
        <v>820</v>
      </c>
      <c r="B772" s="2" t="s">
        <v>58</v>
      </c>
      <c r="C772" s="2" t="s">
        <v>18</v>
      </c>
      <c r="D772" s="2" t="s">
        <v>29</v>
      </c>
      <c r="E772" s="2" t="s">
        <v>52</v>
      </c>
      <c r="F772" s="2">
        <v>3</v>
      </c>
      <c r="G772" s="2" t="s">
        <v>21</v>
      </c>
      <c r="H772" t="str" cm="1">
        <f t="array" ref="H772:J772">_xlfn.XLOOKUP(C772,Products!A:A,Products!B:D)</f>
        <v>Tablet Air</v>
      </c>
      <c r="I772" t="str">
        <v>Electronics</v>
      </c>
      <c r="J772">
        <v>499.99</v>
      </c>
      <c r="K772">
        <f t="shared" si="13"/>
        <v>1499.97</v>
      </c>
      <c r="Q772" s="8"/>
    </row>
    <row r="773" spans="1:17" ht="14.25" customHeight="1" x14ac:dyDescent="0.3">
      <c r="A773" s="2" t="s">
        <v>821</v>
      </c>
      <c r="B773" s="2" t="s">
        <v>17</v>
      </c>
      <c r="C773" s="2" t="s">
        <v>23</v>
      </c>
      <c r="D773" s="2" t="s">
        <v>41</v>
      </c>
      <c r="E773" s="2" t="s">
        <v>20</v>
      </c>
      <c r="F773" s="2">
        <v>1</v>
      </c>
      <c r="G773" s="2" t="s">
        <v>21</v>
      </c>
      <c r="H773" t="str" cm="1">
        <f t="array" ref="H773:J773">_xlfn.XLOOKUP(C773,Products!A:A,Products!B:D)</f>
        <v>4K Monitor</v>
      </c>
      <c r="I773" t="str">
        <v>Electronics</v>
      </c>
      <c r="J773">
        <v>349.99</v>
      </c>
      <c r="K773">
        <f t="shared" si="13"/>
        <v>349.99</v>
      </c>
      <c r="Q773" s="8"/>
    </row>
    <row r="774" spans="1:17" ht="14.25" customHeight="1" x14ac:dyDescent="0.3">
      <c r="A774" s="2" t="s">
        <v>822</v>
      </c>
      <c r="B774" s="2" t="s">
        <v>34</v>
      </c>
      <c r="C774" s="2" t="s">
        <v>23</v>
      </c>
      <c r="D774" s="2" t="s">
        <v>37</v>
      </c>
      <c r="E774" s="2" t="s">
        <v>24</v>
      </c>
      <c r="F774" s="2">
        <v>2</v>
      </c>
      <c r="G774" s="2" t="s">
        <v>25</v>
      </c>
      <c r="H774" t="str" cm="1">
        <f t="array" ref="H774:J774">_xlfn.XLOOKUP(C774,Products!A:A,Products!B:D)</f>
        <v>4K Monitor</v>
      </c>
      <c r="I774" t="str">
        <v>Electronics</v>
      </c>
      <c r="J774">
        <v>349.99</v>
      </c>
      <c r="K774">
        <f t="shared" si="13"/>
        <v>0</v>
      </c>
      <c r="Q774" s="8"/>
    </row>
    <row r="775" spans="1:17" ht="14.25" customHeight="1" x14ac:dyDescent="0.3">
      <c r="A775" s="2" t="s">
        <v>823</v>
      </c>
      <c r="B775" s="2" t="s">
        <v>54</v>
      </c>
      <c r="C775" s="2" t="s">
        <v>35</v>
      </c>
      <c r="D775" s="2" t="s">
        <v>29</v>
      </c>
      <c r="E775" s="2" t="s">
        <v>47</v>
      </c>
      <c r="F775" s="2">
        <v>3</v>
      </c>
      <c r="G775" s="2" t="s">
        <v>21</v>
      </c>
      <c r="H775" t="str" cm="1">
        <f t="array" ref="H775:J775">_xlfn.XLOOKUP(C775,Products!A:A,Products!B:D)</f>
        <v>Mechanical Keyboard</v>
      </c>
      <c r="I775" t="str">
        <v>Accessories</v>
      </c>
      <c r="J775">
        <v>89.99</v>
      </c>
      <c r="K775">
        <f t="shared" si="13"/>
        <v>269.96999999999997</v>
      </c>
      <c r="Q775" s="8"/>
    </row>
    <row r="776" spans="1:17" ht="14.25" customHeight="1" x14ac:dyDescent="0.3">
      <c r="A776" s="2" t="s">
        <v>824</v>
      </c>
      <c r="B776" s="2" t="s">
        <v>54</v>
      </c>
      <c r="C776" s="2" t="s">
        <v>30</v>
      </c>
      <c r="D776" s="2" t="s">
        <v>41</v>
      </c>
      <c r="E776" s="2" t="s">
        <v>52</v>
      </c>
      <c r="F776" s="2">
        <v>1</v>
      </c>
      <c r="G776" s="2" t="s">
        <v>25</v>
      </c>
      <c r="H776" t="str" cm="1">
        <f t="array" ref="H776:J776">_xlfn.XLOOKUP(C776,Products!A:A,Products!B:D)</f>
        <v>Wireless Headphones</v>
      </c>
      <c r="I776" t="str">
        <v>Accessories</v>
      </c>
      <c r="J776">
        <v>149.99</v>
      </c>
      <c r="K776">
        <f t="shared" si="13"/>
        <v>0</v>
      </c>
      <c r="Q776" s="8"/>
    </row>
    <row r="777" spans="1:17" ht="14.25" customHeight="1" x14ac:dyDescent="0.3">
      <c r="A777" s="2" t="s">
        <v>825</v>
      </c>
      <c r="B777" s="2" t="s">
        <v>17</v>
      </c>
      <c r="C777" s="2" t="s">
        <v>35</v>
      </c>
      <c r="D777" s="2" t="s">
        <v>37</v>
      </c>
      <c r="E777" s="2" t="s">
        <v>47</v>
      </c>
      <c r="F777" s="2">
        <v>2</v>
      </c>
      <c r="G777" s="2" t="s">
        <v>61</v>
      </c>
      <c r="H777" t="str" cm="1">
        <f t="array" ref="H777:J777">_xlfn.XLOOKUP(C777,Products!A:A,Products!B:D)</f>
        <v>Mechanical Keyboard</v>
      </c>
      <c r="I777" t="str">
        <v>Accessories</v>
      </c>
      <c r="J777">
        <v>89.99</v>
      </c>
      <c r="K777">
        <f t="shared" si="13"/>
        <v>179.98</v>
      </c>
      <c r="Q777" s="8"/>
    </row>
    <row r="778" spans="1:17" ht="14.25" customHeight="1" x14ac:dyDescent="0.3">
      <c r="A778" s="2" t="s">
        <v>826</v>
      </c>
      <c r="B778" s="2" t="s">
        <v>54</v>
      </c>
      <c r="C778" s="2" t="s">
        <v>43</v>
      </c>
      <c r="D778" s="2" t="s">
        <v>37</v>
      </c>
      <c r="E778" s="2" t="s">
        <v>20</v>
      </c>
      <c r="F778" s="2">
        <v>3</v>
      </c>
      <c r="G778" s="2" t="s">
        <v>21</v>
      </c>
      <c r="H778" t="str" cm="1">
        <f t="array" ref="H778:J778">_xlfn.XLOOKUP(C778,Products!A:A,Products!B:D)</f>
        <v>Bluetooth Speaker</v>
      </c>
      <c r="I778" t="str">
        <v>Accessories</v>
      </c>
      <c r="J778">
        <v>79.989999999999995</v>
      </c>
      <c r="K778">
        <f t="shared" si="13"/>
        <v>239.96999999999997</v>
      </c>
      <c r="Q778" s="8"/>
    </row>
    <row r="779" spans="1:17" ht="14.25" customHeight="1" x14ac:dyDescent="0.3">
      <c r="A779" s="2" t="s">
        <v>827</v>
      </c>
      <c r="B779" s="2" t="s">
        <v>17</v>
      </c>
      <c r="C779" s="2" t="s">
        <v>30</v>
      </c>
      <c r="D779" s="2" t="s">
        <v>19</v>
      </c>
      <c r="E779" s="2" t="s">
        <v>24</v>
      </c>
      <c r="F779" s="2">
        <v>3</v>
      </c>
      <c r="G779" s="2" t="s">
        <v>61</v>
      </c>
      <c r="H779" t="str" cm="1">
        <f t="array" ref="H779:J779">_xlfn.XLOOKUP(C779,Products!A:A,Products!B:D)</f>
        <v>Wireless Headphones</v>
      </c>
      <c r="I779" t="str">
        <v>Accessories</v>
      </c>
      <c r="J779">
        <v>149.99</v>
      </c>
      <c r="K779">
        <f t="shared" si="13"/>
        <v>449.97</v>
      </c>
      <c r="Q779" s="8"/>
    </row>
    <row r="780" spans="1:17" ht="14.25" customHeight="1" x14ac:dyDescent="0.3">
      <c r="A780" s="2" t="s">
        <v>828</v>
      </c>
      <c r="B780" s="2" t="s">
        <v>17</v>
      </c>
      <c r="C780" s="2" t="s">
        <v>35</v>
      </c>
      <c r="D780" s="2" t="s">
        <v>60</v>
      </c>
      <c r="E780" s="2" t="s">
        <v>24</v>
      </c>
      <c r="F780" s="2">
        <v>4</v>
      </c>
      <c r="G780" s="2" t="s">
        <v>25</v>
      </c>
      <c r="H780" t="str" cm="1">
        <f t="array" ref="H780:J780">_xlfn.XLOOKUP(C780,Products!A:A,Products!B:D)</f>
        <v>Mechanical Keyboard</v>
      </c>
      <c r="I780" t="str">
        <v>Accessories</v>
      </c>
      <c r="J780">
        <v>89.99</v>
      </c>
      <c r="K780">
        <f t="shared" si="13"/>
        <v>0</v>
      </c>
      <c r="Q780" s="8"/>
    </row>
    <row r="781" spans="1:17" ht="14.25" customHeight="1" x14ac:dyDescent="0.3">
      <c r="A781" s="2" t="s">
        <v>829</v>
      </c>
      <c r="B781" s="2" t="s">
        <v>54</v>
      </c>
      <c r="C781" s="2" t="s">
        <v>7</v>
      </c>
      <c r="D781" s="2" t="s">
        <v>29</v>
      </c>
      <c r="E781" s="2" t="s">
        <v>20</v>
      </c>
      <c r="F781" s="2">
        <v>2</v>
      </c>
      <c r="G781" s="2" t="s">
        <v>21</v>
      </c>
      <c r="H781" t="str" cm="1">
        <f t="array" ref="H781:J781">_xlfn.XLOOKUP(C781,Products!A:A,Products!B:D)</f>
        <v>Smartphone X</v>
      </c>
      <c r="I781" t="str">
        <v>Electronics</v>
      </c>
      <c r="J781">
        <v>999.99</v>
      </c>
      <c r="K781">
        <f t="shared" si="13"/>
        <v>1999.98</v>
      </c>
      <c r="Q781" s="8"/>
    </row>
    <row r="782" spans="1:17" ht="14.25" customHeight="1" x14ac:dyDescent="0.3">
      <c r="A782" s="2" t="s">
        <v>830</v>
      </c>
      <c r="B782" s="2" t="s">
        <v>54</v>
      </c>
      <c r="C782" s="2" t="s">
        <v>7</v>
      </c>
      <c r="D782" s="2" t="s">
        <v>19</v>
      </c>
      <c r="E782" s="2" t="s">
        <v>24</v>
      </c>
      <c r="F782" s="2">
        <v>5</v>
      </c>
      <c r="G782" s="2" t="s">
        <v>21</v>
      </c>
      <c r="H782" t="str" cm="1">
        <f t="array" ref="H782:J782">_xlfn.XLOOKUP(C782,Products!A:A,Products!B:D)</f>
        <v>Smartphone X</v>
      </c>
      <c r="I782" t="str">
        <v>Electronics</v>
      </c>
      <c r="J782">
        <v>999.99</v>
      </c>
      <c r="K782">
        <f t="shared" si="13"/>
        <v>4999.95</v>
      </c>
      <c r="Q782" s="8"/>
    </row>
    <row r="783" spans="1:17" ht="14.25" customHeight="1" x14ac:dyDescent="0.3">
      <c r="A783" s="2" t="s">
        <v>831</v>
      </c>
      <c r="B783" s="2" t="s">
        <v>54</v>
      </c>
      <c r="C783" s="2" t="s">
        <v>7</v>
      </c>
      <c r="D783" s="2" t="s">
        <v>41</v>
      </c>
      <c r="E783" s="2" t="s">
        <v>52</v>
      </c>
      <c r="F783" s="2">
        <v>3</v>
      </c>
      <c r="G783" s="2" t="s">
        <v>25</v>
      </c>
      <c r="H783" t="str" cm="1">
        <f t="array" ref="H783:J783">_xlfn.XLOOKUP(C783,Products!A:A,Products!B:D)</f>
        <v>Smartphone X</v>
      </c>
      <c r="I783" t="str">
        <v>Electronics</v>
      </c>
      <c r="J783">
        <v>999.99</v>
      </c>
      <c r="K783">
        <f t="shared" si="13"/>
        <v>0</v>
      </c>
      <c r="Q783" s="8"/>
    </row>
    <row r="784" spans="1:17" ht="14.25" customHeight="1" x14ac:dyDescent="0.3">
      <c r="A784" s="2" t="s">
        <v>832</v>
      </c>
      <c r="B784" s="2" t="s">
        <v>27</v>
      </c>
      <c r="C784" s="2" t="s">
        <v>23</v>
      </c>
      <c r="D784" s="2" t="s">
        <v>37</v>
      </c>
      <c r="E784" s="2" t="s">
        <v>52</v>
      </c>
      <c r="F784" s="2">
        <v>5</v>
      </c>
      <c r="G784" s="2" t="s">
        <v>61</v>
      </c>
      <c r="H784" t="str" cm="1">
        <f t="array" ref="H784:J784">_xlfn.XLOOKUP(C784,Products!A:A,Products!B:D)</f>
        <v>4K Monitor</v>
      </c>
      <c r="I784" t="str">
        <v>Electronics</v>
      </c>
      <c r="J784">
        <v>349.99</v>
      </c>
      <c r="K784">
        <f t="shared" si="13"/>
        <v>1749.95</v>
      </c>
      <c r="Q784" s="8"/>
    </row>
    <row r="785" spans="1:17" ht="14.25" customHeight="1" x14ac:dyDescent="0.3">
      <c r="A785" s="2" t="s">
        <v>833</v>
      </c>
      <c r="B785" s="2" t="s">
        <v>54</v>
      </c>
      <c r="C785" s="2" t="s">
        <v>7</v>
      </c>
      <c r="D785" s="2" t="s">
        <v>29</v>
      </c>
      <c r="E785" s="2" t="s">
        <v>20</v>
      </c>
      <c r="F785" s="2">
        <v>2</v>
      </c>
      <c r="G785" s="2" t="s">
        <v>61</v>
      </c>
      <c r="H785" t="str" cm="1">
        <f t="array" ref="H785:J785">_xlfn.XLOOKUP(C785,Products!A:A,Products!B:D)</f>
        <v>Smartphone X</v>
      </c>
      <c r="I785" t="str">
        <v>Electronics</v>
      </c>
      <c r="J785">
        <v>999.99</v>
      </c>
      <c r="K785">
        <f t="shared" si="13"/>
        <v>1999.98</v>
      </c>
      <c r="Q785" s="8"/>
    </row>
    <row r="786" spans="1:17" ht="14.25" customHeight="1" x14ac:dyDescent="0.3">
      <c r="A786" s="2" t="s">
        <v>834</v>
      </c>
      <c r="B786" s="2" t="s">
        <v>27</v>
      </c>
      <c r="C786" s="2" t="s">
        <v>43</v>
      </c>
      <c r="D786" s="2" t="s">
        <v>41</v>
      </c>
      <c r="E786" s="2" t="s">
        <v>52</v>
      </c>
      <c r="F786" s="2">
        <v>2</v>
      </c>
      <c r="G786" s="2" t="s">
        <v>21</v>
      </c>
      <c r="H786" t="str" cm="1">
        <f t="array" ref="H786:J786">_xlfn.XLOOKUP(C786,Products!A:A,Products!B:D)</f>
        <v>Bluetooth Speaker</v>
      </c>
      <c r="I786" t="str">
        <v>Accessories</v>
      </c>
      <c r="J786">
        <v>79.989999999999995</v>
      </c>
      <c r="K786">
        <f t="shared" si="13"/>
        <v>159.97999999999999</v>
      </c>
      <c r="Q786" s="8"/>
    </row>
    <row r="787" spans="1:17" ht="14.25" customHeight="1" x14ac:dyDescent="0.3">
      <c r="A787" s="2" t="s">
        <v>835</v>
      </c>
      <c r="B787" s="2" t="s">
        <v>56</v>
      </c>
      <c r="C787" s="2" t="s">
        <v>46</v>
      </c>
      <c r="D787" s="2" t="s">
        <v>41</v>
      </c>
      <c r="E787" s="2" t="s">
        <v>52</v>
      </c>
      <c r="F787" s="2">
        <v>1</v>
      </c>
      <c r="G787" s="2" t="s">
        <v>21</v>
      </c>
      <c r="H787" t="str" cm="1">
        <f t="array" ref="H787:J787">_xlfn.XLOOKUP(C787,Products!A:A,Products!B:D)</f>
        <v>Ergonomic Chair</v>
      </c>
      <c r="I787" t="str">
        <v>Furniture</v>
      </c>
      <c r="J787">
        <v>249.99</v>
      </c>
      <c r="K787">
        <f t="shared" si="13"/>
        <v>249.99</v>
      </c>
      <c r="Q787" s="8"/>
    </row>
    <row r="788" spans="1:17" ht="14.25" customHeight="1" x14ac:dyDescent="0.3">
      <c r="A788" s="2" t="s">
        <v>836</v>
      </c>
      <c r="B788" s="2" t="s">
        <v>27</v>
      </c>
      <c r="C788" s="2" t="s">
        <v>38</v>
      </c>
      <c r="D788" s="2" t="s">
        <v>29</v>
      </c>
      <c r="E788" s="2" t="s">
        <v>52</v>
      </c>
      <c r="F788" s="2">
        <v>3</v>
      </c>
      <c r="G788" s="2" t="s">
        <v>61</v>
      </c>
      <c r="H788" t="str" cm="1">
        <f t="array" ref="H788:J788">_xlfn.XLOOKUP(C788,Products!A:A,Products!B:D)</f>
        <v>Gaming Mouse</v>
      </c>
      <c r="I788" t="str">
        <v>Accessories</v>
      </c>
      <c r="J788">
        <v>49.99</v>
      </c>
      <c r="K788">
        <f t="shared" si="13"/>
        <v>149.97</v>
      </c>
      <c r="Q788" s="8"/>
    </row>
    <row r="789" spans="1:17" ht="14.25" customHeight="1" x14ac:dyDescent="0.3">
      <c r="A789" s="2" t="s">
        <v>837</v>
      </c>
      <c r="B789" s="2" t="s">
        <v>54</v>
      </c>
      <c r="C789" s="2" t="s">
        <v>23</v>
      </c>
      <c r="D789" s="2" t="s">
        <v>19</v>
      </c>
      <c r="E789" s="2" t="s">
        <v>47</v>
      </c>
      <c r="F789" s="2">
        <v>5</v>
      </c>
      <c r="G789" s="2" t="s">
        <v>25</v>
      </c>
      <c r="H789" t="str" cm="1">
        <f t="array" ref="H789:J789">_xlfn.XLOOKUP(C789,Products!A:A,Products!B:D)</f>
        <v>4K Monitor</v>
      </c>
      <c r="I789" t="str">
        <v>Electronics</v>
      </c>
      <c r="J789">
        <v>349.99</v>
      </c>
      <c r="K789">
        <f t="shared" si="13"/>
        <v>0</v>
      </c>
      <c r="Q789" s="8"/>
    </row>
    <row r="790" spans="1:17" ht="14.25" customHeight="1" x14ac:dyDescent="0.3">
      <c r="A790" s="2" t="s">
        <v>838</v>
      </c>
      <c r="B790" s="2" t="s">
        <v>27</v>
      </c>
      <c r="C790" s="2" t="s">
        <v>35</v>
      </c>
      <c r="D790" s="2" t="s">
        <v>19</v>
      </c>
      <c r="E790" s="2" t="s">
        <v>20</v>
      </c>
      <c r="F790" s="2">
        <v>1</v>
      </c>
      <c r="G790" s="2" t="s">
        <v>21</v>
      </c>
      <c r="H790" t="str" cm="1">
        <f t="array" ref="H790:J790">_xlfn.XLOOKUP(C790,Products!A:A,Products!B:D)</f>
        <v>Mechanical Keyboard</v>
      </c>
      <c r="I790" t="str">
        <v>Accessories</v>
      </c>
      <c r="J790">
        <v>89.99</v>
      </c>
      <c r="K790">
        <f t="shared" si="13"/>
        <v>89.99</v>
      </c>
      <c r="Q790" s="8"/>
    </row>
    <row r="791" spans="1:17" ht="14.25" customHeight="1" x14ac:dyDescent="0.3">
      <c r="A791" s="2" t="s">
        <v>839</v>
      </c>
      <c r="B791" s="2" t="s">
        <v>58</v>
      </c>
      <c r="C791" s="2" t="s">
        <v>35</v>
      </c>
      <c r="D791" s="2" t="s">
        <v>41</v>
      </c>
      <c r="E791" s="2" t="s">
        <v>20</v>
      </c>
      <c r="F791" s="2">
        <v>2</v>
      </c>
      <c r="G791" s="2" t="s">
        <v>21</v>
      </c>
      <c r="H791" t="str" cm="1">
        <f t="array" ref="H791:J791">_xlfn.XLOOKUP(C791,Products!A:A,Products!B:D)</f>
        <v>Mechanical Keyboard</v>
      </c>
      <c r="I791" t="str">
        <v>Accessories</v>
      </c>
      <c r="J791">
        <v>89.99</v>
      </c>
      <c r="K791">
        <f t="shared" si="13"/>
        <v>179.98</v>
      </c>
      <c r="Q791" s="8"/>
    </row>
    <row r="792" spans="1:17" ht="14.25" customHeight="1" x14ac:dyDescent="0.3">
      <c r="A792" s="2" t="s">
        <v>840</v>
      </c>
      <c r="B792" s="2" t="s">
        <v>56</v>
      </c>
      <c r="C792" s="2" t="s">
        <v>43</v>
      </c>
      <c r="D792" s="2" t="s">
        <v>41</v>
      </c>
      <c r="E792" s="2" t="s">
        <v>20</v>
      </c>
      <c r="F792" s="2">
        <v>2</v>
      </c>
      <c r="G792" s="2" t="s">
        <v>21</v>
      </c>
      <c r="H792" t="str" cm="1">
        <f t="array" ref="H792:J792">_xlfn.XLOOKUP(C792,Products!A:A,Products!B:D)</f>
        <v>Bluetooth Speaker</v>
      </c>
      <c r="I792" t="str">
        <v>Accessories</v>
      </c>
      <c r="J792">
        <v>79.989999999999995</v>
      </c>
      <c r="K792">
        <f t="shared" si="13"/>
        <v>159.97999999999999</v>
      </c>
      <c r="Q792" s="8"/>
    </row>
    <row r="793" spans="1:17" ht="14.25" customHeight="1" x14ac:dyDescent="0.3">
      <c r="A793" s="2" t="s">
        <v>841</v>
      </c>
      <c r="B793" s="2" t="s">
        <v>58</v>
      </c>
      <c r="C793" s="2" t="s">
        <v>35</v>
      </c>
      <c r="D793" s="2" t="s">
        <v>60</v>
      </c>
      <c r="E793" s="2" t="s">
        <v>47</v>
      </c>
      <c r="F793" s="2">
        <v>5</v>
      </c>
      <c r="G793" s="2" t="s">
        <v>21</v>
      </c>
      <c r="H793" t="str" cm="1">
        <f t="array" ref="H793:J793">_xlfn.XLOOKUP(C793,Products!A:A,Products!B:D)</f>
        <v>Mechanical Keyboard</v>
      </c>
      <c r="I793" t="str">
        <v>Accessories</v>
      </c>
      <c r="J793">
        <v>89.99</v>
      </c>
      <c r="K793">
        <f t="shared" si="13"/>
        <v>449.95</v>
      </c>
      <c r="Q793" s="8"/>
    </row>
    <row r="794" spans="1:17" ht="14.25" customHeight="1" x14ac:dyDescent="0.3">
      <c r="A794" s="2" t="s">
        <v>842</v>
      </c>
      <c r="B794" s="2" t="s">
        <v>56</v>
      </c>
      <c r="C794" s="2" t="s">
        <v>38</v>
      </c>
      <c r="D794" s="2" t="s">
        <v>60</v>
      </c>
      <c r="E794" s="2" t="s">
        <v>20</v>
      </c>
      <c r="F794" s="2">
        <v>4</v>
      </c>
      <c r="G794" s="2" t="s">
        <v>61</v>
      </c>
      <c r="H794" t="str" cm="1">
        <f t="array" ref="H794:J794">_xlfn.XLOOKUP(C794,Products!A:A,Products!B:D)</f>
        <v>Gaming Mouse</v>
      </c>
      <c r="I794" t="str">
        <v>Accessories</v>
      </c>
      <c r="J794">
        <v>49.99</v>
      </c>
      <c r="K794">
        <f t="shared" si="13"/>
        <v>199.96</v>
      </c>
      <c r="Q794" s="8"/>
    </row>
    <row r="795" spans="1:17" ht="14.25" customHeight="1" x14ac:dyDescent="0.3">
      <c r="A795" s="2" t="s">
        <v>843</v>
      </c>
      <c r="B795" s="2" t="s">
        <v>27</v>
      </c>
      <c r="C795" s="2" t="s">
        <v>35</v>
      </c>
      <c r="D795" s="2" t="s">
        <v>19</v>
      </c>
      <c r="E795" s="2" t="s">
        <v>24</v>
      </c>
      <c r="F795" s="2">
        <v>4</v>
      </c>
      <c r="G795" s="2" t="s">
        <v>21</v>
      </c>
      <c r="H795" t="str" cm="1">
        <f t="array" ref="H795:J795">_xlfn.XLOOKUP(C795,Products!A:A,Products!B:D)</f>
        <v>Mechanical Keyboard</v>
      </c>
      <c r="I795" t="str">
        <v>Accessories</v>
      </c>
      <c r="J795">
        <v>89.99</v>
      </c>
      <c r="K795">
        <f t="shared" si="13"/>
        <v>359.96</v>
      </c>
      <c r="Q795" s="8"/>
    </row>
    <row r="796" spans="1:17" ht="14.25" customHeight="1" x14ac:dyDescent="0.3">
      <c r="A796" s="2" t="s">
        <v>844</v>
      </c>
      <c r="B796" s="2" t="s">
        <v>34</v>
      </c>
      <c r="C796" s="2" t="s">
        <v>18</v>
      </c>
      <c r="D796" s="2" t="s">
        <v>60</v>
      </c>
      <c r="E796" s="2" t="s">
        <v>20</v>
      </c>
      <c r="F796" s="2">
        <v>5</v>
      </c>
      <c r="G796" s="2" t="s">
        <v>21</v>
      </c>
      <c r="H796" t="str" cm="1">
        <f t="array" ref="H796:J796">_xlfn.XLOOKUP(C796,Products!A:A,Products!B:D)</f>
        <v>Tablet Air</v>
      </c>
      <c r="I796" t="str">
        <v>Electronics</v>
      </c>
      <c r="J796">
        <v>499.99</v>
      </c>
      <c r="K796">
        <f t="shared" si="13"/>
        <v>2499.9499999999998</v>
      </c>
      <c r="Q796" s="8"/>
    </row>
    <row r="797" spans="1:17" ht="14.25" customHeight="1" x14ac:dyDescent="0.3">
      <c r="A797" s="2" t="s">
        <v>845</v>
      </c>
      <c r="B797" s="2" t="s">
        <v>58</v>
      </c>
      <c r="C797" s="2" t="s">
        <v>23</v>
      </c>
      <c r="D797" s="2" t="s">
        <v>29</v>
      </c>
      <c r="E797" s="2" t="s">
        <v>20</v>
      </c>
      <c r="F797" s="2">
        <v>4</v>
      </c>
      <c r="G797" s="2" t="s">
        <v>25</v>
      </c>
      <c r="H797" t="str" cm="1">
        <f t="array" ref="H797:J797">_xlfn.XLOOKUP(C797,Products!A:A,Products!B:D)</f>
        <v>4K Monitor</v>
      </c>
      <c r="I797" t="str">
        <v>Electronics</v>
      </c>
      <c r="J797">
        <v>349.99</v>
      </c>
      <c r="K797">
        <f t="shared" si="13"/>
        <v>0</v>
      </c>
      <c r="Q797" s="8"/>
    </row>
    <row r="798" spans="1:17" ht="14.25" customHeight="1" x14ac:dyDescent="0.3">
      <c r="A798" s="2" t="s">
        <v>846</v>
      </c>
      <c r="B798" s="2" t="s">
        <v>58</v>
      </c>
      <c r="C798" s="2" t="s">
        <v>7</v>
      </c>
      <c r="D798" s="2" t="s">
        <v>37</v>
      </c>
      <c r="E798" s="2" t="s">
        <v>52</v>
      </c>
      <c r="F798" s="2">
        <v>2</v>
      </c>
      <c r="G798" s="2" t="s">
        <v>21</v>
      </c>
      <c r="H798" t="str" cm="1">
        <f t="array" ref="H798:J798">_xlfn.XLOOKUP(C798,Products!A:A,Products!B:D)</f>
        <v>Smartphone X</v>
      </c>
      <c r="I798" t="str">
        <v>Electronics</v>
      </c>
      <c r="J798">
        <v>999.99</v>
      </c>
      <c r="K798">
        <f t="shared" si="13"/>
        <v>1999.98</v>
      </c>
      <c r="Q798" s="8"/>
    </row>
    <row r="799" spans="1:17" ht="14.25" customHeight="1" x14ac:dyDescent="0.3">
      <c r="A799" s="2" t="s">
        <v>847</v>
      </c>
      <c r="B799" s="2" t="s">
        <v>27</v>
      </c>
      <c r="C799" s="2" t="s">
        <v>7</v>
      </c>
      <c r="D799" s="2" t="s">
        <v>19</v>
      </c>
      <c r="E799" s="2" t="s">
        <v>20</v>
      </c>
      <c r="F799" s="2">
        <v>5</v>
      </c>
      <c r="G799" s="2" t="s">
        <v>21</v>
      </c>
      <c r="H799" t="str" cm="1">
        <f t="array" ref="H799:J799">_xlfn.XLOOKUP(C799,Products!A:A,Products!B:D)</f>
        <v>Smartphone X</v>
      </c>
      <c r="I799" t="str">
        <v>Electronics</v>
      </c>
      <c r="J799">
        <v>999.99</v>
      </c>
      <c r="K799">
        <f t="shared" si="13"/>
        <v>4999.95</v>
      </c>
      <c r="Q799" s="8"/>
    </row>
    <row r="800" spans="1:17" ht="14.25" customHeight="1" x14ac:dyDescent="0.3">
      <c r="A800" s="2" t="s">
        <v>848</v>
      </c>
      <c r="B800" s="2" t="s">
        <v>54</v>
      </c>
      <c r="C800" s="2" t="s">
        <v>18</v>
      </c>
      <c r="D800" s="2" t="s">
        <v>60</v>
      </c>
      <c r="E800" s="2" t="s">
        <v>52</v>
      </c>
      <c r="F800" s="2">
        <v>5</v>
      </c>
      <c r="G800" s="2" t="s">
        <v>21</v>
      </c>
      <c r="H800" t="str" cm="1">
        <f t="array" ref="H800:J800">_xlfn.XLOOKUP(C800,Products!A:A,Products!B:D)</f>
        <v>Tablet Air</v>
      </c>
      <c r="I800" t="str">
        <v>Electronics</v>
      </c>
      <c r="J800">
        <v>499.99</v>
      </c>
      <c r="K800">
        <f t="shared" si="13"/>
        <v>2499.9499999999998</v>
      </c>
      <c r="Q800" s="8"/>
    </row>
    <row r="801" spans="1:17" ht="14.25" customHeight="1" x14ac:dyDescent="0.3">
      <c r="A801" s="2" t="s">
        <v>849</v>
      </c>
      <c r="B801" s="2" t="s">
        <v>34</v>
      </c>
      <c r="C801" s="2" t="s">
        <v>18</v>
      </c>
      <c r="D801" s="2" t="s">
        <v>60</v>
      </c>
      <c r="E801" s="2" t="s">
        <v>52</v>
      </c>
      <c r="F801" s="2">
        <v>2</v>
      </c>
      <c r="G801" s="2" t="s">
        <v>21</v>
      </c>
      <c r="H801" t="str" cm="1">
        <f t="array" ref="H801:J801">_xlfn.XLOOKUP(C801,Products!A:A,Products!B:D)</f>
        <v>Tablet Air</v>
      </c>
      <c r="I801" t="str">
        <v>Electronics</v>
      </c>
      <c r="J801">
        <v>499.99</v>
      </c>
      <c r="K801">
        <f t="shared" si="13"/>
        <v>999.98</v>
      </c>
      <c r="Q801" s="8"/>
    </row>
    <row r="802" spans="1:17" ht="14.25" customHeight="1" x14ac:dyDescent="0.3"/>
    <row r="803" spans="1:17" ht="14.25" customHeight="1" x14ac:dyDescent="0.3"/>
    <row r="804" spans="1:17" ht="14.25" customHeight="1" x14ac:dyDescent="0.3"/>
    <row r="805" spans="1:17" ht="14.25" customHeight="1" x14ac:dyDescent="0.3"/>
    <row r="806" spans="1:17" ht="14.25" customHeight="1" x14ac:dyDescent="0.3"/>
    <row r="807" spans="1:17" ht="14.25" customHeight="1" x14ac:dyDescent="0.3"/>
    <row r="808" spans="1:17" ht="14.25" customHeight="1" x14ac:dyDescent="0.3"/>
    <row r="809" spans="1:17" ht="14.25" customHeight="1" x14ac:dyDescent="0.3"/>
    <row r="810" spans="1:17" ht="14.25" customHeight="1" x14ac:dyDescent="0.3"/>
    <row r="811" spans="1:17" ht="14.25" customHeight="1" x14ac:dyDescent="0.3"/>
    <row r="812" spans="1:17" ht="14.25" customHeight="1" x14ac:dyDescent="0.3"/>
    <row r="813" spans="1:17" ht="14.25" customHeight="1" x14ac:dyDescent="0.3"/>
    <row r="814" spans="1:17" ht="14.25" customHeight="1" x14ac:dyDescent="0.3"/>
    <row r="815" spans="1:17" ht="14.25" customHeight="1" x14ac:dyDescent="0.3"/>
    <row r="816" spans="1:17"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D1000"/>
  <sheetViews>
    <sheetView workbookViewId="0">
      <selection activeCell="F33" sqref="F33"/>
    </sheetView>
  </sheetViews>
  <sheetFormatPr defaultColWidth="14.44140625" defaultRowHeight="15" customHeight="1" x14ac:dyDescent="0.3"/>
  <cols>
    <col min="1" max="1" width="9.88671875" bestFit="1" customWidth="1"/>
    <col min="2" max="2" width="18.6640625" bestFit="1" customWidth="1"/>
    <col min="3" max="26" width="8.6640625" customWidth="1"/>
  </cols>
  <sheetData>
    <row r="1" spans="1:4" ht="14.25" customHeight="1" x14ac:dyDescent="0.3">
      <c r="A1" s="1" t="s">
        <v>0</v>
      </c>
      <c r="B1" s="1" t="s">
        <v>3</v>
      </c>
      <c r="C1" s="1" t="s">
        <v>4</v>
      </c>
      <c r="D1" s="1" t="s">
        <v>6</v>
      </c>
    </row>
    <row r="2" spans="1:4" ht="14.25" customHeight="1" x14ac:dyDescent="0.3">
      <c r="A2" s="2" t="s">
        <v>7</v>
      </c>
      <c r="B2" s="2" t="s">
        <v>10</v>
      </c>
      <c r="C2" s="2" t="s">
        <v>12</v>
      </c>
      <c r="D2" s="2">
        <v>999.99</v>
      </c>
    </row>
    <row r="3" spans="1:4" ht="14.25" customHeight="1" x14ac:dyDescent="0.3">
      <c r="A3" s="2" t="s">
        <v>18</v>
      </c>
      <c r="B3" s="2" t="s">
        <v>28</v>
      </c>
      <c r="C3" s="2" t="s">
        <v>12</v>
      </c>
      <c r="D3" s="2">
        <v>499.99</v>
      </c>
    </row>
    <row r="4" spans="1:4" ht="14.25" customHeight="1" x14ac:dyDescent="0.3">
      <c r="A4" s="2" t="s">
        <v>30</v>
      </c>
      <c r="B4" s="2" t="s">
        <v>31</v>
      </c>
      <c r="C4" s="2" t="s">
        <v>32</v>
      </c>
      <c r="D4" s="2">
        <v>149.99</v>
      </c>
    </row>
    <row r="5" spans="1:4" ht="14.25" customHeight="1" x14ac:dyDescent="0.3">
      <c r="A5" s="2" t="s">
        <v>35</v>
      </c>
      <c r="B5" s="2" t="s">
        <v>36</v>
      </c>
      <c r="C5" s="2" t="s">
        <v>32</v>
      </c>
      <c r="D5" s="2">
        <v>89.99</v>
      </c>
    </row>
    <row r="6" spans="1:4" ht="14.25" customHeight="1" x14ac:dyDescent="0.3">
      <c r="A6" s="2" t="s">
        <v>38</v>
      </c>
      <c r="B6" s="2" t="s">
        <v>39</v>
      </c>
      <c r="C6" s="2" t="s">
        <v>32</v>
      </c>
      <c r="D6" s="2">
        <v>49.99</v>
      </c>
    </row>
    <row r="7" spans="1:4" ht="14.25" customHeight="1" x14ac:dyDescent="0.3">
      <c r="A7" s="2" t="s">
        <v>23</v>
      </c>
      <c r="B7" s="2" t="s">
        <v>42</v>
      </c>
      <c r="C7" s="2" t="s">
        <v>12</v>
      </c>
      <c r="D7" s="2">
        <v>349.99</v>
      </c>
    </row>
    <row r="8" spans="1:4" ht="14.25" customHeight="1" x14ac:dyDescent="0.3">
      <c r="A8" s="2" t="s">
        <v>43</v>
      </c>
      <c r="B8" s="2" t="s">
        <v>45</v>
      </c>
      <c r="C8" s="2" t="s">
        <v>32</v>
      </c>
      <c r="D8" s="2">
        <v>79.989999999999995</v>
      </c>
    </row>
    <row r="9" spans="1:4" ht="14.25" customHeight="1" x14ac:dyDescent="0.3">
      <c r="A9" s="2" t="s">
        <v>46</v>
      </c>
      <c r="B9" s="2" t="s">
        <v>48</v>
      </c>
      <c r="C9" s="2" t="s">
        <v>49</v>
      </c>
      <c r="D9" s="2">
        <v>249.99</v>
      </c>
    </row>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E53B8-7D96-4795-91AA-BE5C48D5645E}">
  <sheetPr>
    <tabColor theme="7" tint="0.79998168889431442"/>
  </sheetPr>
  <dimension ref="C2:J32"/>
  <sheetViews>
    <sheetView showGridLines="0" tabSelected="1" topLeftCell="C2" workbookViewId="0">
      <selection activeCell="U2" sqref="U2"/>
    </sheetView>
  </sheetViews>
  <sheetFormatPr defaultRowHeight="14.4" x14ac:dyDescent="0.3"/>
  <cols>
    <col min="1" max="16384" width="8.88671875" style="15"/>
  </cols>
  <sheetData>
    <row r="2" spans="3:3" x14ac:dyDescent="0.3">
      <c r="C2" s="14"/>
    </row>
    <row r="32" spans="10:10" x14ac:dyDescent="0.3">
      <c r="J32" s="14"/>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 Instructions</vt:lpstr>
      <vt:lpstr>Charts</vt:lpstr>
      <vt:lpstr>Sales</vt:lpstr>
      <vt:lpstr>Products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Heba Mohamed</cp:lastModifiedBy>
  <dcterms:created xsi:type="dcterms:W3CDTF">2026-06-13T13:32:34Z</dcterms:created>
  <dcterms:modified xsi:type="dcterms:W3CDTF">2026-10-21T10:59:00Z</dcterms:modified>
</cp:coreProperties>
</file>