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is\EraaSoft\Material\Excel\"/>
    </mc:Choice>
  </mc:AlternateContent>
  <xr:revisionPtr revIDLastSave="0" documentId="13_ncr:1_{4E6412C4-AE2D-4CCD-A4DE-BDC7FE5606F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structions | متطلبات التاسك" sheetId="1" r:id="rId1"/>
    <sheet name="Data" sheetId="2" r:id="rId2"/>
    <sheet name="Ref_Tables" sheetId="3" r:id="rId3"/>
    <sheet name="T1_Dates" sheetId="4" r:id="rId4"/>
    <sheet name="T2_Time" sheetId="5" r:id="rId5"/>
    <sheet name="T3_Lookups" sheetId="6" r:id="rId6"/>
    <sheet name="T4_Dynamic" sheetId="7" r:id="rId7"/>
    <sheet name="T5_Conditiona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8" l="1"/>
  <c r="B22" i="8"/>
  <c r="B23" i="8"/>
  <c r="B19" i="8"/>
  <c r="B20" i="8"/>
  <c r="H9" i="8"/>
  <c r="H10" i="8"/>
  <c r="H11" i="8"/>
  <c r="H12" i="8"/>
  <c r="H13" i="8"/>
  <c r="G9" i="8"/>
  <c r="G10" i="8"/>
  <c r="G11" i="8"/>
  <c r="G12" i="8"/>
  <c r="G13" i="8"/>
  <c r="F9" i="8"/>
  <c r="F10" i="8"/>
  <c r="F11" i="8"/>
  <c r="F12" i="8"/>
  <c r="F13" i="8"/>
  <c r="F8" i="8"/>
  <c r="G8" i="8"/>
  <c r="H8" i="8"/>
  <c r="E9" i="8"/>
  <c r="E10" i="8"/>
  <c r="E11" i="8"/>
  <c r="E12" i="8"/>
  <c r="E13" i="8"/>
  <c r="E8" i="8"/>
  <c r="E20" i="8"/>
  <c r="E21" i="8"/>
  <c r="E22" i="8"/>
  <c r="E23" i="8"/>
  <c r="E24" i="8"/>
  <c r="E19" i="8"/>
  <c r="Z6" i="7" a="1"/>
  <c r="Z6" i="7" s="1"/>
  <c r="P6" i="7" a="1"/>
  <c r="P6" i="7" s="1"/>
  <c r="F6" i="7" a="1"/>
  <c r="F6" i="7" s="1"/>
  <c r="D6" i="7" a="1"/>
  <c r="D6" i="7" s="1"/>
  <c r="B6" i="7" a="1"/>
  <c r="B6" i="7" s="1"/>
  <c r="B9" i="8"/>
  <c r="B10" i="8"/>
  <c r="B11" i="8"/>
  <c r="B12" i="8"/>
  <c r="B13" i="8"/>
  <c r="B8" i="8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6" i="6"/>
  <c r="G6" i="6" a="1"/>
  <c r="G6" i="6" s="1"/>
  <c r="F6" i="6" a="1"/>
  <c r="F6" i="6" s="1"/>
  <c r="I7" i="5" l="1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6" i="5"/>
  <c r="H6" i="5" a="1"/>
  <c r="H6" i="5" s="1"/>
  <c r="G6" i="5" a="1"/>
  <c r="G6" i="5" s="1"/>
  <c r="F6" i="5"/>
  <c r="F7" i="5" a="1"/>
  <c r="F7" i="5" s="1"/>
  <c r="E6" i="5" a="1"/>
  <c r="E6" i="5" s="1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6" i="5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6" i="4"/>
  <c r="G6" i="4" a="1"/>
  <c r="G6" i="4" s="1"/>
  <c r="F6" i="4"/>
  <c r="F7" i="4" a="1"/>
  <c r="F7" i="4" s="1"/>
  <c r="E6" i="4" a="1"/>
  <c r="E6" i="4" s="1"/>
  <c r="D6" i="4" a="1"/>
  <c r="D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<sst xmlns="http://schemas.openxmlformats.org/spreadsheetml/2006/main" count="497" uniqueCount="187">
  <si>
    <t>How to work</t>
  </si>
  <si>
    <t>1</t>
  </si>
  <si>
    <t>Each task sheet has dark-blue headers (given data) and ORANGE headers with yellow cells: write your formula in the FIRST yellow cell, then fill down.</t>
  </si>
  <si>
    <t>2</t>
  </si>
  <si>
    <t>3</t>
  </si>
  <si>
    <t>XLOOKUP, UNIQUE, SORT and FILTER need Excel 2021 or Microsoft 365.</t>
  </si>
  <si>
    <t>Functions covered</t>
  </si>
  <si>
    <t>T1_Dates</t>
  </si>
  <si>
    <t>YEAR, MONTH, DAY, DATE, EDATE, WEEKDAY, TEXT, DATEDIF</t>
  </si>
  <si>
    <t>T2_Time</t>
  </si>
  <si>
    <t>HOUR, MINUTE, SECOND (+ TEXT, IF)</t>
  </si>
  <si>
    <t>T3_Lookups</t>
  </si>
  <si>
    <t>VLOOKUP, HLOOKUP, XLOOKUP</t>
  </si>
  <si>
    <t>T4_Dynamic</t>
  </si>
  <si>
    <t>UNIQUE, SORT, FILTER</t>
  </si>
  <si>
    <t>T5_Conditional</t>
  </si>
  <si>
    <t>SUMIF, SUMIFS, AVERAGEIFS, COUNTIFS</t>
  </si>
  <si>
    <t>campaign_id</t>
  </si>
  <si>
    <t>Unique campaign code</t>
  </si>
  <si>
    <t>launch_date / end_date</t>
  </si>
  <si>
    <t>Campaign start and end dates</t>
  </si>
  <si>
    <t>launch_time</t>
  </si>
  <si>
    <t>Time of day the campaign went live</t>
  </si>
  <si>
    <t>channel / campaign_type / target_audience</t>
  </si>
  <si>
    <t>Descriptive categories</t>
  </si>
  <si>
    <t>spend_egp / revenue_egp</t>
  </si>
  <si>
    <t>Money spent / earned (EGP)</t>
  </si>
  <si>
    <t>conversions</t>
  </si>
  <si>
    <t>Number of conversions</t>
  </si>
  <si>
    <t>launch_date</t>
  </si>
  <si>
    <t>end_date</t>
  </si>
  <si>
    <t>channel</t>
  </si>
  <si>
    <t>campaign_type</t>
  </si>
  <si>
    <t>target_audience</t>
  </si>
  <si>
    <t>spend_egp</t>
  </si>
  <si>
    <t>revenue_egp</t>
  </si>
  <si>
    <t>CMP0001</t>
  </si>
  <si>
    <t>Google Ads</t>
  </si>
  <si>
    <t>Awareness</t>
  </si>
  <si>
    <t>All</t>
  </si>
  <si>
    <t>CMP0002</t>
  </si>
  <si>
    <t>Email</t>
  </si>
  <si>
    <t>25-34</t>
  </si>
  <si>
    <t>CMP0003</t>
  </si>
  <si>
    <t>Lead Gen</t>
  </si>
  <si>
    <t>35-44</t>
  </si>
  <si>
    <t>CMP0004</t>
  </si>
  <si>
    <t>CMP0005</t>
  </si>
  <si>
    <t>Retargeting</t>
  </si>
  <si>
    <t>CMP0006</t>
  </si>
  <si>
    <t>Promotion</t>
  </si>
  <si>
    <t>CMP0007</t>
  </si>
  <si>
    <t>LinkedIn</t>
  </si>
  <si>
    <t>CMP0008</t>
  </si>
  <si>
    <t>CMP0009</t>
  </si>
  <si>
    <t>18-24</t>
  </si>
  <si>
    <t>CMP0010</t>
  </si>
  <si>
    <t>CMP0011</t>
  </si>
  <si>
    <t>CMP0012</t>
  </si>
  <si>
    <t>Facebook</t>
  </si>
  <si>
    <t>CMP0013</t>
  </si>
  <si>
    <t>CMP0014</t>
  </si>
  <si>
    <t>CMP0015</t>
  </si>
  <si>
    <t>45+</t>
  </si>
  <si>
    <t>CMP0016</t>
  </si>
  <si>
    <t>Instagram</t>
  </si>
  <si>
    <t>CMP0017</t>
  </si>
  <si>
    <t>CMP0018</t>
  </si>
  <si>
    <t>CMP0019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</si>
  <si>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</si>
  <si>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</si>
  <si>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</si>
  <si>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</si>
  <si>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</si>
  <si>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</si>
  <si>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</si>
  <si>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</si>
  <si>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</si>
  <si>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TikTok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</si>
  <si>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</si>
  <si>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</si>
  <si>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</si>
  <si>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</si>
  <si>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</si>
  <si>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</si>
  <si>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</si>
  <si>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</si>
  <si>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</si>
  <si>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</si>
  <si>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</si>
  <si>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</si>
  <si>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</si>
  <si>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</si>
  <si>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</si>
  <si>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</si>
  <si>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</si>
  <si>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</si>
  <si>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</si>
  <si>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</si>
  <si>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</si>
  <si>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</si>
  <si>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</si>
  <si>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</si>
  <si>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</si>
  <si>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</si>
  <si>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</si>
  <si>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</si>
  <si>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</si>
  <si>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</si>
  <si>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</si>
  <si>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</si>
  <si>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channel_group</t>
  </si>
  <si>
    <t>platform_owner</t>
  </si>
  <si>
    <t>ownership_type</t>
  </si>
  <si>
    <t>Direct</t>
  </si>
  <si>
    <t>In-house</t>
  </si>
  <si>
    <t>Owned</t>
  </si>
  <si>
    <t>Social Media</t>
  </si>
  <si>
    <t>Meta</t>
  </si>
  <si>
    <t>Paid</t>
  </si>
  <si>
    <t>Search</t>
  </si>
  <si>
    <t>Google</t>
  </si>
  <si>
    <t>Microsoft</t>
  </si>
  <si>
    <t>ByteDance</t>
  </si>
  <si>
    <t>budget_cap_egp</t>
  </si>
  <si>
    <t>target_roas</t>
  </si>
  <si>
    <t>Task 1 - Date functions</t>
  </si>
  <si>
    <t>Use the first 20 campaigns. Fill the orange columns with formulas (row 6 first, then fill down).</t>
  </si>
  <si>
    <t>WEEKDAY: Monday = 1 ... Sunday = 7.  DATE: rebuild the 1st day of the launch month from YEAR and MONTH.  EDATE: launch date + 3 months.</t>
  </si>
  <si>
    <t>DATEDIF: days and complete months between launch_date and end_date.</t>
  </si>
  <si>
    <t>YEAR</t>
  </si>
  <si>
    <t>MONTH</t>
  </si>
  <si>
    <t>DAY</t>
  </si>
  <si>
    <t>DATE
(1st of launch month)</t>
  </si>
  <si>
    <t>EDATE
(launch + 3 months)</t>
  </si>
  <si>
    <t>WEEKDAY
(Mon=1)</t>
  </si>
  <si>
    <t>TEXT
(day name)</t>
  </si>
  <si>
    <t>TEXT
("mmm-yyyy")</t>
  </si>
  <si>
    <t>DATEDIF
(days)</t>
  </si>
  <si>
    <t>DATEDIF
(complete months)</t>
  </si>
  <si>
    <t>Use the first 20 campaigns. D=HOUR, E=MINUTE, F=SECOND of launch_time.</t>
  </si>
  <si>
    <t>G = seconds since midnight (use D, E, F).  H = TEXT(launch_time, "hh:mm AM/PM").</t>
  </si>
  <si>
    <t>I = IF + HOUR: "Morning" if hour &lt; 12, "Afternoon" if hour &lt; 18, otherwise "Evening".</t>
  </si>
  <si>
    <t>HOUR</t>
  </si>
  <si>
    <t>MINUTE</t>
  </si>
  <si>
    <t>SECOND</t>
  </si>
  <si>
    <t>Seconds since
midnight</t>
  </si>
  <si>
    <t>TEXT
(hh:mm AM/PM)</t>
  </si>
  <si>
    <t>Day part
(IF + HOUR)</t>
  </si>
  <si>
    <t>Task 3 - Lookup functions</t>
  </si>
  <si>
    <t>D = VLOOKUP: platform_owner of the channel (Ref_Tables Table 1, exact match).  E = HLOOKUP: budget_cap_egp of the campaign type (Ref_Tables Table 2).</t>
  </si>
  <si>
    <t>F = XLOOKUP: revenue_egp of the campaign_id from sheet Data, return "Not found" if missing.  G = XLOOKUP: launch_date of the campaign_id (same rule).</t>
  </si>
  <si>
    <t>H = "Yes" if the campaign spend_egp (XLOOKUP from Data) is above the budget cap in E, otherwise "No"; keep "Not found" for unknown ids. Note: the last 3 ids do not exist.</t>
  </si>
  <si>
    <t>VLOOKUP
(platform_owner)</t>
  </si>
  <si>
    <t>HLOOKUP
(budget_cap_egp)</t>
  </si>
  <si>
    <t>XLOOKUP
(revenue_egp)</t>
  </si>
  <si>
    <t>XLOOKUP
(launch_date)</t>
  </si>
  <si>
    <t>Spend over cap?
(XLOOKUP + IF)</t>
  </si>
  <si>
    <t>CMP9001</t>
  </si>
  <si>
    <t>CMP9002</t>
  </si>
  <si>
    <t>CMP9003</t>
  </si>
  <si>
    <t>Task 4 - Dynamic array functions: type ONE formula in each yellow cell (row 6); the result spills down/right.</t>
  </si>
  <si>
    <t>Q1
UNIQUE</t>
  </si>
  <si>
    <t>Q2
SORT(UNIQUE)</t>
  </si>
  <si>
    <t>Q3
SORT</t>
  </si>
  <si>
    <t>Q4
FILTER</t>
  </si>
  <si>
    <t>Q5
SORT(FILTER)</t>
  </si>
  <si>
    <t>Task 5 - Conditional aggregation (use mixed/absolute references so one formula fills the whole table)</t>
  </si>
  <si>
    <t>A) SUMIF - revenue by channel</t>
  </si>
  <si>
    <t>B) SUMIFS - spend by channel x campaign type</t>
  </si>
  <si>
    <t>SUMIF
revenue_egp</t>
  </si>
  <si>
    <t>C) AVERAGEIFS - avg revenue, launched in 2025</t>
  </si>
  <si>
    <t>D) COUNTIFS - revenue &gt; 500,000 and conversions &gt;= 500</t>
  </si>
  <si>
    <t>AVERAGEIFS
revenue_egp</t>
  </si>
  <si>
    <t>COUNTIFS
(campaigns)</t>
  </si>
  <si>
    <t>Excel Advanced Functions Practice Task - Marketing Campaigns</t>
  </si>
  <si>
    <t>The full data is in sheet "Data"; lookup tables are in sheet "Ref_Tables".</t>
  </si>
  <si>
    <t>Data dictionary | شرح مبسط لكل عمود في الداتا</t>
  </si>
  <si>
    <r>
      <t>Table 2 - Campaign type targets (</t>
    </r>
    <r>
      <rPr>
        <b/>
        <sz val="11"/>
        <color rgb="FFC00000"/>
        <rFont val="Arial"/>
        <family val="2"/>
      </rPr>
      <t>horizontal</t>
    </r>
    <r>
      <rPr>
        <b/>
        <sz val="11"/>
        <rFont val="Arial"/>
      </rPr>
      <t>: HLOOKUP)</t>
    </r>
  </si>
  <si>
    <r>
      <t>Table 1 - Channel info (</t>
    </r>
    <r>
      <rPr>
        <b/>
        <sz val="11"/>
        <color rgb="FFC00000"/>
        <rFont val="Arial"/>
        <family val="2"/>
      </rPr>
      <t>vertical</t>
    </r>
    <r>
      <rPr>
        <b/>
        <sz val="11"/>
        <rFont val="Arial"/>
      </rPr>
      <t>: VLOOKUP / XLOOKUP)</t>
    </r>
  </si>
  <si>
    <t>Task sheets</t>
  </si>
  <si>
    <r>
      <rPr>
        <i/>
        <sz val="10"/>
        <color rgb="FFC00000"/>
        <rFont val="Arial"/>
        <family val="2"/>
      </rPr>
      <t>Q1 (B6):</t>
    </r>
    <r>
      <rPr>
        <i/>
        <sz val="10"/>
        <rFont val="Arial"/>
      </rPr>
      <t xml:space="preserve"> UNIQUE list of channels from Data.   </t>
    </r>
    <r>
      <rPr>
        <i/>
        <sz val="10"/>
        <color rgb="FFC00000"/>
        <rFont val="Arial"/>
        <family val="2"/>
      </rPr>
      <t xml:space="preserve">Q2 (D6): </t>
    </r>
    <r>
      <rPr>
        <i/>
        <sz val="10"/>
        <rFont val="Arial"/>
      </rPr>
      <t>alphabetically sorted list of unique campaign types (SORT + UNIQUE).</t>
    </r>
  </si>
  <si>
    <r>
      <rPr>
        <i/>
        <sz val="10"/>
        <color rgb="FFC00000"/>
        <rFont val="Arial"/>
        <family val="2"/>
      </rPr>
      <t>Q3 (F6):</t>
    </r>
    <r>
      <rPr>
        <i/>
        <sz val="10"/>
        <rFont val="Arial"/>
      </rPr>
      <t xml:space="preserve"> the whole Data table (A2:J61) sorted by revenue_egp, highest first.   </t>
    </r>
    <r>
      <rPr>
        <i/>
        <sz val="10"/>
        <color rgb="FFC00000"/>
        <rFont val="Arial"/>
        <family val="2"/>
      </rPr>
      <t xml:space="preserve">Q4 (P6): </t>
    </r>
    <r>
      <rPr>
        <i/>
        <sz val="10"/>
        <rFont val="Arial"/>
      </rPr>
      <t>FILTER all Data rows where channel is "Email".</t>
    </r>
  </si>
  <si>
    <r>
      <rPr>
        <i/>
        <sz val="10"/>
        <color rgb="FFC00000"/>
        <rFont val="Arial"/>
        <family val="2"/>
      </rPr>
      <t xml:space="preserve">C) </t>
    </r>
    <r>
      <rPr>
        <i/>
        <sz val="10"/>
        <rFont val="Arial"/>
      </rPr>
      <t>AVERAGEIFS: average revenue_egp per target audience for campaigns launched in 2025 only (use "&gt;="&amp;DATE(2025,1,1) and "&lt;="&amp;DATE(2025,12,31); wrap in IFERROR(...,"No data")).</t>
    </r>
  </si>
  <si>
    <r>
      <rPr>
        <i/>
        <sz val="10"/>
        <color rgb="FFC00000"/>
        <rFont val="Arial"/>
        <family val="2"/>
      </rPr>
      <t xml:space="preserve">A) </t>
    </r>
    <r>
      <rPr>
        <i/>
        <sz val="10"/>
        <rFont val="Arial"/>
      </rPr>
      <t xml:space="preserve">SUMIF: total revenue_egp per channel.   </t>
    </r>
    <r>
      <rPr>
        <i/>
        <sz val="10"/>
        <color rgb="FFC00000"/>
        <rFont val="Arial"/>
        <family val="2"/>
      </rPr>
      <t>B)</t>
    </r>
    <r>
      <rPr>
        <i/>
        <sz val="10"/>
        <rFont val="Arial"/>
      </rPr>
      <t xml:space="preserve"> SUMIFS: total spend_egp per channel (rows) and campaign type (columns).</t>
    </r>
  </si>
  <si>
    <r>
      <rPr>
        <i/>
        <sz val="10"/>
        <color rgb="FFC00000"/>
        <rFont val="Arial"/>
        <family val="2"/>
      </rPr>
      <t>D)</t>
    </r>
    <r>
      <rPr>
        <i/>
        <sz val="10"/>
        <rFont val="Arial"/>
      </rPr>
      <t xml:space="preserve"> COUNTIFS: number of campaigns per channel with revenue_egp &gt; 500,000 AND conversions &gt;= 500.</t>
    </r>
  </si>
  <si>
    <r>
      <rPr>
        <i/>
        <sz val="10"/>
        <color rgb="FFC00000"/>
        <rFont val="Arial"/>
        <family val="2"/>
      </rPr>
      <t xml:space="preserve">Q5 (Z6): </t>
    </r>
    <r>
      <rPr>
        <i/>
        <sz val="10"/>
        <rFont val="Arial"/>
      </rPr>
      <t xml:space="preserve">FILTER rows with revenue_egp &gt; 1,000,000 AND target_audience = "All", then SORT by spend_egp ascending.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</si>
</sst>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hh:mm:ss"/>
    <numFmt numFmtId="166" formatCode="0.0"/>
    <numFmt numFmtId="167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b/>
      <sz val="11"/>
      <name val="Arial"/>
      <family val="2"/>
    </font>
    <font>
      <i/>
      <sz val="10"/>
      <color rgb="FFC0000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55A11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4" fontId="3" fillId="0" borderId="1" xfId="0" applyNumberFormat="1" applyFont="1" applyBorder="1"/>
    <xf numFmtId="3" fontId="3" fillId="0" borderId="1" xfId="0" applyNumberFormat="1" applyFont="1" applyBorder="1"/>
    <xf numFmtId="166" fontId="3" fillId="0" borderId="1" xfId="0" applyNumberFormat="1" applyFont="1" applyBorder="1"/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/>
    <xf numFmtId="3" fontId="3" fillId="4" borderId="1" xfId="0" applyNumberFormat="1" applyFont="1" applyFill="1" applyBorder="1"/>
    <xf numFmtId="4" fontId="3" fillId="4" borderId="1" xfId="0" applyNumberFormat="1" applyFont="1" applyFill="1" applyBorder="1"/>
    <xf numFmtId="1" fontId="3" fillId="4" borderId="1" xfId="0" applyNumberFormat="1" applyFont="1" applyFill="1" applyBorder="1"/>
    <xf numFmtId="0" fontId="6" fillId="0" borderId="0" xfId="0" applyFont="1"/>
    <xf numFmtId="0" fontId="7" fillId="0" borderId="0" xfId="0" applyFont="1" applyAlignment="1">
      <alignment vertical="top" wrapText="1"/>
    </xf>
    <xf numFmtId="0" fontId="10" fillId="0" borderId="0" xfId="0" applyFont="1"/>
    <xf numFmtId="167" fontId="3" fillId="4" borderId="1" xfId="0" applyNumberFormat="1" applyFont="1" applyFill="1" applyBorder="1"/>
    <xf numFmtId="0" fontId="8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1" xfId="0" applyNumberFormat="1" applyFont="1" applyBorder="1"/>
    <xf numFmtId="14" fontId="4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1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4" zoomScale="111" workbookViewId="0">
      <selection activeCell="B4" sqref="B4"/>
    </sheetView>
  </sheetViews>
  <sheetFormatPr defaultRowHeight="14.4" x14ac:dyDescent="0.3"/>
  <cols>
    <col min="1" max="1" width="51" customWidth="1"/>
    <col min="2" max="2" width="100" customWidth="1"/>
  </cols>
  <sheetData>
    <row r="1" spans="1:2" ht="17.399999999999999" x14ac:dyDescent="0.3">
      <c r="A1" s="1" t="s">
        <v>175</v>
      </c>
    </row>
    <row r="3" spans="1:2" x14ac:dyDescent="0.3">
      <c r="A3" s="18" t="s">
        <v>0</v>
      </c>
      <c r="B3" s="3"/>
    </row>
    <row r="4" spans="1:2" ht="27.6" x14ac:dyDescent="0.3">
      <c r="A4" s="2" t="s">
        <v>1</v>
      </c>
      <c r="B4" s="3" t="s">
        <v>2</v>
      </c>
    </row>
    <row r="5" spans="1:2" x14ac:dyDescent="0.3">
      <c r="A5" s="2" t="s">
        <v>3</v>
      </c>
      <c r="B5" s="3" t="s">
        <v>176</v>
      </c>
    </row>
    <row r="6" spans="1:2" x14ac:dyDescent="0.3">
      <c r="A6" s="2" t="s">
        <v>4</v>
      </c>
      <c r="B6" s="3" t="s">
        <v>5</v>
      </c>
    </row>
    <row r="7" spans="1:2" x14ac:dyDescent="0.3">
      <c r="A7" s="2"/>
      <c r="B7" s="3"/>
    </row>
    <row r="8" spans="1:2" x14ac:dyDescent="0.3">
      <c r="A8" s="18" t="s">
        <v>180</v>
      </c>
      <c r="B8" s="19" t="s">
        <v>6</v>
      </c>
    </row>
    <row r="9" spans="1:2" x14ac:dyDescent="0.3">
      <c r="A9" s="2" t="s">
        <v>7</v>
      </c>
      <c r="B9" s="3" t="s">
        <v>8</v>
      </c>
    </row>
    <row r="10" spans="1:2" x14ac:dyDescent="0.3">
      <c r="A10" s="2" t="s">
        <v>9</v>
      </c>
      <c r="B10" s="3" t="s">
        <v>10</v>
      </c>
    </row>
    <row r="11" spans="1:2" x14ac:dyDescent="0.3">
      <c r="A11" s="2" t="s">
        <v>11</v>
      </c>
      <c r="B11" s="3" t="s">
        <v>12</v>
      </c>
    </row>
    <row r="12" spans="1:2" x14ac:dyDescent="0.3">
      <c r="A12" s="2" t="s">
        <v>13</v>
      </c>
      <c r="B12" s="3" t="s">
        <v>14</v>
      </c>
    </row>
    <row r="13" spans="1:2" x14ac:dyDescent="0.3">
      <c r="A13" s="2" t="s">
        <v>15</v>
      </c>
      <c r="B13" s="3" t="s">
        <v>16</v>
      </c>
    </row>
    <row r="14" spans="1:2" x14ac:dyDescent="0.3">
      <c r="A14" s="2"/>
      <c r="B14" s="3"/>
    </row>
    <row r="15" spans="1:2" x14ac:dyDescent="0.3">
      <c r="A15" s="18" t="s">
        <v>177</v>
      </c>
      <c r="B15" s="3"/>
    </row>
    <row r="16" spans="1:2" x14ac:dyDescent="0.3">
      <c r="A16" s="2" t="s">
        <v>17</v>
      </c>
      <c r="B16" s="3" t="s">
        <v>18</v>
      </c>
    </row>
    <row r="17" spans="1:2" x14ac:dyDescent="0.3">
      <c r="A17" s="2" t="s">
        <v>19</v>
      </c>
      <c r="B17" s="3" t="s">
        <v>20</v>
      </c>
    </row>
    <row r="18" spans="1:2" x14ac:dyDescent="0.3">
      <c r="A18" s="2" t="s">
        <v>21</v>
      </c>
      <c r="B18" s="3" t="s">
        <v>22</v>
      </c>
    </row>
    <row r="19" spans="1:2" x14ac:dyDescent="0.3">
      <c r="A19" s="2" t="s">
        <v>23</v>
      </c>
      <c r="B19" s="3" t="s">
        <v>24</v>
      </c>
    </row>
    <row r="20" spans="1:2" x14ac:dyDescent="0.3">
      <c r="A20" s="2" t="s">
        <v>25</v>
      </c>
      <c r="B20" s="3" t="s">
        <v>26</v>
      </c>
    </row>
    <row r="21" spans="1:2" x14ac:dyDescent="0.3">
      <c r="A21" s="2" t="s">
        <v>27</v>
      </c>
      <c r="B21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>
      <pane ySplit="1" topLeftCell="A2" activePane="bottomLeft" state="frozen"/>
      <selection pane="bottomLeft" activeCell="L7" sqref="L7"/>
    </sheetView>
  </sheetViews>
  <sheetFormatPr defaultRowHeight="14.4" x14ac:dyDescent="0.3"/>
  <cols>
    <col min="1" max="1" width="14" customWidth="1"/>
    <col min="2" max="2" width="13" style="26" customWidth="1"/>
    <col min="3" max="3" width="13.44140625" customWidth="1"/>
    <col min="4" max="5" width="13" customWidth="1"/>
    <col min="6" max="6" width="16" customWidth="1"/>
    <col min="7" max="7" width="17.6640625" customWidth="1"/>
    <col min="8" max="8" width="14" customWidth="1"/>
    <col min="9" max="9" width="16" customWidth="1"/>
    <col min="10" max="10" width="13" customWidth="1"/>
    <col min="12" max="12" width="10.77734375" bestFit="1" customWidth="1"/>
  </cols>
  <sheetData>
    <row r="1" spans="1:12" x14ac:dyDescent="0.3">
      <c r="A1" s="4" t="s">
        <v>17</v>
      </c>
      <c r="B1" s="25" t="s">
        <v>29</v>
      </c>
      <c r="C1" s="4" t="s">
        <v>21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27</v>
      </c>
      <c r="L1" s="26"/>
    </row>
    <row r="2" spans="1:12" x14ac:dyDescent="0.3">
      <c r="A2" s="5" t="s">
        <v>36</v>
      </c>
      <c r="B2" s="24">
        <v>45388</v>
      </c>
      <c r="C2" s="7">
        <v>0.60015046296296293</v>
      </c>
      <c r="D2" s="6">
        <v>45529</v>
      </c>
      <c r="E2" s="5" t="s">
        <v>37</v>
      </c>
      <c r="F2" s="5" t="s">
        <v>38</v>
      </c>
      <c r="G2" s="5" t="s">
        <v>39</v>
      </c>
      <c r="H2" s="8">
        <v>21794.11</v>
      </c>
      <c r="I2" s="8">
        <v>306421.78000000003</v>
      </c>
      <c r="J2" s="9">
        <v>905</v>
      </c>
      <c r="L2" s="26"/>
    </row>
    <row r="3" spans="1:12" x14ac:dyDescent="0.3">
      <c r="A3" s="5" t="s">
        <v>40</v>
      </c>
      <c r="B3" s="24">
        <v>45389</v>
      </c>
      <c r="C3" s="7">
        <v>0.50320601851851854</v>
      </c>
      <c r="D3" s="6">
        <v>45810</v>
      </c>
      <c r="E3" s="5" t="s">
        <v>41</v>
      </c>
      <c r="F3" s="5" t="s">
        <v>38</v>
      </c>
      <c r="G3" s="5" t="s">
        <v>42</v>
      </c>
      <c r="H3" s="8">
        <v>4470.93</v>
      </c>
      <c r="I3" s="8">
        <v>171646.23</v>
      </c>
      <c r="J3" s="9">
        <v>68</v>
      </c>
      <c r="L3" s="26"/>
    </row>
    <row r="4" spans="1:12" x14ac:dyDescent="0.3">
      <c r="A4" s="5" t="s">
        <v>43</v>
      </c>
      <c r="B4" s="24">
        <v>45390</v>
      </c>
      <c r="C4" s="7">
        <v>0.34012731481481479</v>
      </c>
      <c r="D4" s="6">
        <v>45557</v>
      </c>
      <c r="E4" s="5" t="s">
        <v>41</v>
      </c>
      <c r="F4" s="5" t="s">
        <v>44</v>
      </c>
      <c r="G4" s="5" t="s">
        <v>45</v>
      </c>
      <c r="H4" s="8">
        <v>71528.94</v>
      </c>
      <c r="I4" s="8">
        <v>1861156.84</v>
      </c>
      <c r="J4" s="9">
        <v>2069</v>
      </c>
      <c r="L4" s="26"/>
    </row>
    <row r="5" spans="1:12" x14ac:dyDescent="0.3">
      <c r="A5" s="5" t="s">
        <v>46</v>
      </c>
      <c r="B5" s="24">
        <v>45391</v>
      </c>
      <c r="C5" s="7">
        <v>0.92804398148148148</v>
      </c>
      <c r="D5" s="6">
        <v>45564</v>
      </c>
      <c r="E5" s="5" t="s">
        <v>41</v>
      </c>
      <c r="F5" s="5" t="s">
        <v>44</v>
      </c>
      <c r="G5" s="5" t="s">
        <v>45</v>
      </c>
      <c r="H5" s="8">
        <v>26788.73</v>
      </c>
      <c r="I5" s="8">
        <v>192870.52</v>
      </c>
      <c r="J5" s="9">
        <v>311</v>
      </c>
      <c r="L5" s="26"/>
    </row>
    <row r="6" spans="1:12" x14ac:dyDescent="0.3">
      <c r="A6" s="5" t="s">
        <v>47</v>
      </c>
      <c r="B6" s="24">
        <v>45392</v>
      </c>
      <c r="C6" s="7">
        <v>0.44365740740740739</v>
      </c>
      <c r="D6" s="6">
        <v>45809</v>
      </c>
      <c r="E6" s="5" t="s">
        <v>37</v>
      </c>
      <c r="F6" s="5" t="s">
        <v>48</v>
      </c>
      <c r="G6" s="5" t="s">
        <v>39</v>
      </c>
      <c r="H6" s="8">
        <v>13141.2</v>
      </c>
      <c r="I6" s="8">
        <v>729616.78</v>
      </c>
      <c r="J6" s="9">
        <v>150</v>
      </c>
      <c r="L6" s="26"/>
    </row>
    <row r="7" spans="1:12" x14ac:dyDescent="0.3">
      <c r="A7" s="5" t="s">
        <v>49</v>
      </c>
      <c r="B7" s="24">
        <v>45393</v>
      </c>
      <c r="C7" s="7">
        <v>0.92912037037037032</v>
      </c>
      <c r="D7" s="6">
        <v>45613</v>
      </c>
      <c r="E7" s="5" t="s">
        <v>41</v>
      </c>
      <c r="F7" s="5" t="s">
        <v>50</v>
      </c>
      <c r="G7" s="5" t="s">
        <v>39</v>
      </c>
      <c r="H7" s="8">
        <v>27245.71</v>
      </c>
      <c r="I7" s="8">
        <v>830021.67</v>
      </c>
      <c r="J7" s="9">
        <v>722</v>
      </c>
      <c r="L7" s="27"/>
    </row>
    <row r="8" spans="1:12" x14ac:dyDescent="0.3">
      <c r="A8" s="5" t="s">
        <v>51</v>
      </c>
      <c r="B8" s="24">
        <v>45394</v>
      </c>
      <c r="C8" s="7">
        <v>0.40651620370370373</v>
      </c>
      <c r="D8" s="6">
        <v>45491</v>
      </c>
      <c r="E8" s="5" t="s">
        <v>52</v>
      </c>
      <c r="F8" s="5" t="s">
        <v>48</v>
      </c>
      <c r="G8" s="5" t="s">
        <v>42</v>
      </c>
      <c r="H8" s="8">
        <v>63582.33</v>
      </c>
      <c r="I8" s="8">
        <v>2911609.38</v>
      </c>
      <c r="J8" s="9">
        <v>617</v>
      </c>
    </row>
    <row r="9" spans="1:12" x14ac:dyDescent="0.3">
      <c r="A9" s="5" t="s">
        <v>53</v>
      </c>
      <c r="B9" s="24">
        <v>45395</v>
      </c>
      <c r="C9" s="7">
        <v>0.56385416666666666</v>
      </c>
      <c r="D9" s="6">
        <v>45557</v>
      </c>
      <c r="E9" s="5" t="s">
        <v>52</v>
      </c>
      <c r="F9" s="5" t="s">
        <v>50</v>
      </c>
      <c r="G9" s="5" t="s">
        <v>45</v>
      </c>
      <c r="H9" s="8">
        <v>38343.730000000003</v>
      </c>
      <c r="I9" s="8">
        <v>1617138.34</v>
      </c>
      <c r="J9" s="9">
        <v>492</v>
      </c>
    </row>
    <row r="10" spans="1:12" x14ac:dyDescent="0.3">
      <c r="A10" s="5" t="s">
        <v>54</v>
      </c>
      <c r="B10" s="24">
        <v>45396</v>
      </c>
      <c r="C10" s="7">
        <v>0.8923726851851852</v>
      </c>
      <c r="D10" s="6">
        <v>45524</v>
      </c>
      <c r="E10" s="5" t="s">
        <v>37</v>
      </c>
      <c r="F10" s="5" t="s">
        <v>48</v>
      </c>
      <c r="G10" s="5" t="s">
        <v>55</v>
      </c>
      <c r="H10" s="8">
        <v>23880.9</v>
      </c>
      <c r="I10" s="8">
        <v>120578.52</v>
      </c>
      <c r="J10" s="9">
        <v>1631</v>
      </c>
    </row>
    <row r="11" spans="1:12" x14ac:dyDescent="0.3">
      <c r="A11" s="5" t="s">
        <v>56</v>
      </c>
      <c r="B11" s="24">
        <v>45397</v>
      </c>
      <c r="C11" s="7">
        <v>0.45869212962962957</v>
      </c>
      <c r="D11" s="6">
        <v>45894</v>
      </c>
      <c r="E11" s="5" t="s">
        <v>37</v>
      </c>
      <c r="F11" s="5" t="s">
        <v>48</v>
      </c>
      <c r="G11" s="5" t="s">
        <v>45</v>
      </c>
      <c r="H11" s="8">
        <v>50591.05</v>
      </c>
      <c r="I11" s="8">
        <v>142663.28</v>
      </c>
      <c r="J11" s="9">
        <v>1054</v>
      </c>
    </row>
    <row r="12" spans="1:12" x14ac:dyDescent="0.3">
      <c r="A12" s="5" t="s">
        <v>57</v>
      </c>
      <c r="B12" s="24">
        <v>45398</v>
      </c>
      <c r="C12" s="7">
        <v>0.85091435185185182</v>
      </c>
      <c r="D12" s="6">
        <v>45632</v>
      </c>
      <c r="E12" s="5" t="s">
        <v>37</v>
      </c>
      <c r="F12" s="5" t="s">
        <v>44</v>
      </c>
      <c r="G12" s="5" t="s">
        <v>42</v>
      </c>
      <c r="H12" s="8">
        <v>30550.77</v>
      </c>
      <c r="I12" s="8">
        <v>756956.86</v>
      </c>
      <c r="J12" s="9">
        <v>816</v>
      </c>
    </row>
    <row r="13" spans="1:12" x14ac:dyDescent="0.3">
      <c r="A13" s="5" t="s">
        <v>58</v>
      </c>
      <c r="B13" s="24">
        <v>45399</v>
      </c>
      <c r="C13" s="7">
        <v>0.43497685185185192</v>
      </c>
      <c r="D13" s="6">
        <v>45615</v>
      </c>
      <c r="E13" s="5" t="s">
        <v>59</v>
      </c>
      <c r="F13" s="5" t="s">
        <v>48</v>
      </c>
      <c r="G13" s="5" t="s">
        <v>39</v>
      </c>
      <c r="H13" s="8">
        <v>62757.9</v>
      </c>
      <c r="I13" s="8">
        <v>1116314.45</v>
      </c>
      <c r="J13" s="9">
        <v>789</v>
      </c>
    </row>
    <row r="14" spans="1:12" x14ac:dyDescent="0.3">
      <c r="A14" s="5" t="s">
        <v>60</v>
      </c>
      <c r="B14" s="24">
        <v>45528</v>
      </c>
      <c r="C14" s="7">
        <v>0.76396990740740744</v>
      </c>
      <c r="D14" s="6">
        <v>45670</v>
      </c>
      <c r="E14" s="5" t="s">
        <v>59</v>
      </c>
      <c r="F14" s="5" t="s">
        <v>38</v>
      </c>
      <c r="G14" s="5" t="s">
        <v>42</v>
      </c>
      <c r="H14" s="8">
        <v>52830.74</v>
      </c>
      <c r="I14" s="8">
        <v>546848.63</v>
      </c>
      <c r="J14" s="9">
        <v>1788</v>
      </c>
    </row>
    <row r="15" spans="1:12" x14ac:dyDescent="0.3">
      <c r="A15" s="5" t="s">
        <v>61</v>
      </c>
      <c r="B15" s="24">
        <v>45561</v>
      </c>
      <c r="C15" s="7">
        <v>0.66689814814814818</v>
      </c>
      <c r="D15" s="6">
        <v>45756</v>
      </c>
      <c r="E15" s="5" t="s">
        <v>37</v>
      </c>
      <c r="F15" s="5" t="s">
        <v>38</v>
      </c>
      <c r="G15" s="5" t="s">
        <v>42</v>
      </c>
      <c r="H15" s="8">
        <v>36388.15</v>
      </c>
      <c r="I15" s="8">
        <v>946396.48</v>
      </c>
      <c r="J15" s="9">
        <v>727</v>
      </c>
    </row>
    <row r="16" spans="1:12" x14ac:dyDescent="0.3">
      <c r="A16" s="5" t="s">
        <v>62</v>
      </c>
      <c r="B16" s="24">
        <v>45562</v>
      </c>
      <c r="C16" s="7">
        <v>0.70376157407407403</v>
      </c>
      <c r="D16" s="6">
        <v>45912</v>
      </c>
      <c r="E16" s="5" t="s">
        <v>52</v>
      </c>
      <c r="F16" s="5" t="s">
        <v>38</v>
      </c>
      <c r="G16" s="5" t="s">
        <v>63</v>
      </c>
      <c r="H16" s="8">
        <v>20545.95</v>
      </c>
      <c r="I16" s="8">
        <v>1112001.8999999999</v>
      </c>
      <c r="J16" s="9">
        <v>611</v>
      </c>
    </row>
    <row r="17" spans="1:10" x14ac:dyDescent="0.3">
      <c r="A17" s="5" t="s">
        <v>64</v>
      </c>
      <c r="B17" s="24">
        <v>45563</v>
      </c>
      <c r="C17" s="7">
        <v>0.4161111111111111</v>
      </c>
      <c r="D17" s="6">
        <v>45730</v>
      </c>
      <c r="E17" s="5" t="s">
        <v>65</v>
      </c>
      <c r="F17" s="5" t="s">
        <v>48</v>
      </c>
      <c r="G17" s="5" t="s">
        <v>55</v>
      </c>
      <c r="H17" s="8">
        <v>115625.38</v>
      </c>
      <c r="I17" s="8">
        <v>3430499.21</v>
      </c>
      <c r="J17" s="9">
        <v>3122</v>
      </c>
    </row>
    <row r="18" spans="1:10" x14ac:dyDescent="0.3">
      <c r="A18" s="5" t="s">
        <v>66</v>
      </c>
      <c r="B18" s="24">
        <v>45564</v>
      </c>
      <c r="C18" s="7">
        <v>0.2901273148148148</v>
      </c>
      <c r="D18" s="6">
        <v>45635</v>
      </c>
      <c r="E18" s="5" t="s">
        <v>41</v>
      </c>
      <c r="F18" s="5" t="s">
        <v>50</v>
      </c>
      <c r="G18" s="5" t="s">
        <v>39</v>
      </c>
      <c r="H18" s="8">
        <v>7703.73</v>
      </c>
      <c r="I18" s="8">
        <v>35249.75</v>
      </c>
      <c r="J18" s="9">
        <v>90</v>
      </c>
    </row>
    <row r="19" spans="1:10" x14ac:dyDescent="0.3">
      <c r="A19" s="5" t="s">
        <v>67</v>
      </c>
      <c r="B19" s="24">
        <v>45565</v>
      </c>
      <c r="C19" s="7">
        <v>0.63637731481481485</v>
      </c>
      <c r="D19" s="6">
        <v>45499</v>
      </c>
      <c r="E19" s="5" t="s">
        <v>41</v>
      </c>
      <c r="F19" s="5" t="s">
        <v>44</v>
      </c>
      <c r="G19" s="5" t="s">
        <v>39</v>
      </c>
      <c r="H19" s="8">
        <v>5106.6899999999996</v>
      </c>
      <c r="I19" s="8">
        <v>120055.31</v>
      </c>
      <c r="J19" s="9">
        <v>79</v>
      </c>
    </row>
    <row r="20" spans="1:10" x14ac:dyDescent="0.3">
      <c r="A20" s="5" t="s">
        <v>68</v>
      </c>
      <c r="B20" s="24">
        <v>45566</v>
      </c>
      <c r="C20" s="7">
        <v>0.35097222222222219</v>
      </c>
      <c r="D20" s="6">
        <v>45601</v>
      </c>
      <c r="E20" s="5" t="s">
        <v>41</v>
      </c>
      <c r="F20" s="5" t="s">
        <v>48</v>
      </c>
      <c r="G20" s="5" t="s">
        <v>63</v>
      </c>
      <c r="H20" s="8">
        <v>27818.61</v>
      </c>
      <c r="I20" s="8">
        <v>823517.47</v>
      </c>
      <c r="J20" s="9">
        <v>577</v>
      </c>
    </row>
    <row r="21" spans="1:10" x14ac:dyDescent="0.3">
      <c r="A21" s="5" t="s">
        <v>69</v>
      </c>
      <c r="B21" s="24">
        <v>45567</v>
      </c>
      <c r="C21" s="7">
        <v>0.34998842592592588</v>
      </c>
      <c r="D21" s="6">
        <v>45633</v>
      </c>
      <c r="E21" s="5" t="s">
        <v>65</v>
      </c>
      <c r="F21" s="5" t="s">
        <v>44</v>
      </c>
      <c r="G21" s="5" t="s">
        <v>39</v>
      </c>
      <c r="H21" s="8">
        <v>8456.3700000000008</v>
      </c>
      <c r="I21" s="8">
        <v>24109.95</v>
      </c>
      <c r="J21" s="9">
        <v>92</v>
      </c>
    </row>
    <row r="22" spans="1:10" x14ac:dyDescent="0.3">
      <c r="A22" s="5" t="s">
        <v>70</v>
      </c>
      <c r="B22" s="24">
        <v>45568</v>
      </c>
      <c r="C22" s="7">
        <v>0.82519675925925928</v>
      </c>
      <c r="D22" s="6">
        <v>45871</v>
      </c>
      <c r="E22" s="5" t="s">
        <v>37</v>
      </c>
      <c r="F22" s="5" t="s">
        <v>38</v>
      </c>
      <c r="G22" s="5" t="s">
        <v>45</v>
      </c>
      <c r="H22" s="8">
        <v>52852.57</v>
      </c>
      <c r="I22" s="8">
        <v>1682097.32</v>
      </c>
      <c r="J22" s="9">
        <v>1032</v>
      </c>
    </row>
    <row r="23" spans="1:10" x14ac:dyDescent="0.3">
      <c r="A23" s="5" t="s">
        <v>71</v>
      </c>
      <c r="B23" s="24">
        <v>45569</v>
      </c>
      <c r="C23" s="7">
        <v>0.30354166666666671</v>
      </c>
      <c r="D23" s="6">
        <v>45979</v>
      </c>
      <c r="E23" s="5" t="s">
        <v>37</v>
      </c>
      <c r="F23" s="5" t="s">
        <v>44</v>
      </c>
      <c r="G23" s="5" t="s">
        <v>39</v>
      </c>
      <c r="H23" s="8">
        <v>38709.480000000003</v>
      </c>
      <c r="I23" s="8">
        <v>1895735.16</v>
      </c>
      <c r="J23" s="9">
        <v>1195</v>
      </c>
    </row>
    <row r="24" spans="1:10" x14ac:dyDescent="0.3">
      <c r="A24" s="5" t="s">
        <v>72</v>
      </c>
      <c r="B24" s="24">
        <v>45570</v>
      </c>
      <c r="C24" s="7">
        <v>0.32895833333333341</v>
      </c>
      <c r="D24" s="6">
        <v>45581</v>
      </c>
      <c r="E24" s="5" t="s">
        <v>59</v>
      </c>
      <c r="F24" s="5" t="s">
        <v>48</v>
      </c>
      <c r="G24" s="5" t="s">
        <v>45</v>
      </c>
      <c r="H24" s="8">
        <v>132350.64000000001</v>
      </c>
      <c r="I24" s="8">
        <v>5858333.4699999997</v>
      </c>
      <c r="J24" s="9">
        <v>3186</v>
      </c>
    </row>
    <row r="25" spans="1:10" x14ac:dyDescent="0.3">
      <c r="A25" s="5" t="s">
        <v>73</v>
      </c>
      <c r="B25" s="24">
        <v>45571</v>
      </c>
      <c r="C25" s="7">
        <v>0.65346064814814819</v>
      </c>
      <c r="D25" s="6">
        <v>45748</v>
      </c>
      <c r="E25" s="5" t="s">
        <v>65</v>
      </c>
      <c r="F25" s="5" t="s">
        <v>50</v>
      </c>
      <c r="G25" s="5" t="s">
        <v>45</v>
      </c>
      <c r="H25" s="8">
        <v>4714.3500000000004</v>
      </c>
      <c r="I25" s="8">
        <v>29283.09</v>
      </c>
      <c r="J25" s="9">
        <v>161</v>
      </c>
    </row>
    <row r="26" spans="1:10" x14ac:dyDescent="0.3">
      <c r="A26" s="5" t="s">
        <v>74</v>
      </c>
      <c r="B26" s="24">
        <v>45572</v>
      </c>
      <c r="C26" s="7">
        <v>0.42728009259259259</v>
      </c>
      <c r="D26" s="6">
        <v>45378</v>
      </c>
      <c r="E26" s="5" t="s">
        <v>65</v>
      </c>
      <c r="F26" s="5" t="s">
        <v>50</v>
      </c>
      <c r="G26" s="5" t="s">
        <v>55</v>
      </c>
      <c r="H26" s="8">
        <v>4200.5600000000004</v>
      </c>
      <c r="I26" s="8">
        <v>211401.4</v>
      </c>
      <c r="J26" s="9">
        <v>79</v>
      </c>
    </row>
    <row r="27" spans="1:10" x14ac:dyDescent="0.3">
      <c r="A27" s="5" t="s">
        <v>75</v>
      </c>
      <c r="B27" s="24">
        <v>45573</v>
      </c>
      <c r="C27" s="7">
        <v>0.81412037037037033</v>
      </c>
      <c r="D27" s="6">
        <v>45967</v>
      </c>
      <c r="E27" s="5" t="s">
        <v>59</v>
      </c>
      <c r="F27" s="5" t="s">
        <v>48</v>
      </c>
      <c r="G27" s="5" t="s">
        <v>45</v>
      </c>
      <c r="H27" s="8">
        <v>26089.51</v>
      </c>
      <c r="I27" s="8">
        <v>171535.05</v>
      </c>
      <c r="J27" s="9">
        <v>651</v>
      </c>
    </row>
    <row r="28" spans="1:10" x14ac:dyDescent="0.3">
      <c r="A28" s="5" t="s">
        <v>76</v>
      </c>
      <c r="B28" s="24">
        <v>45574</v>
      </c>
      <c r="C28" s="7">
        <v>0.53429398148148144</v>
      </c>
      <c r="D28" s="6">
        <v>45651</v>
      </c>
      <c r="E28" s="5" t="s">
        <v>59</v>
      </c>
      <c r="F28" s="5" t="s">
        <v>44</v>
      </c>
      <c r="G28" s="5" t="s">
        <v>55</v>
      </c>
      <c r="H28" s="8">
        <v>77462.61</v>
      </c>
      <c r="I28" s="8">
        <v>801142.79</v>
      </c>
      <c r="J28" s="9">
        <v>970</v>
      </c>
    </row>
    <row r="29" spans="1:10" x14ac:dyDescent="0.3">
      <c r="A29" s="5" t="s">
        <v>77</v>
      </c>
      <c r="B29" s="24">
        <v>45575</v>
      </c>
      <c r="C29" s="7">
        <v>0.83056712962962964</v>
      </c>
      <c r="D29" s="6">
        <v>45874</v>
      </c>
      <c r="E29" s="5" t="s">
        <v>78</v>
      </c>
      <c r="F29" s="5" t="s">
        <v>50</v>
      </c>
      <c r="G29" s="5" t="s">
        <v>42</v>
      </c>
      <c r="H29" s="8">
        <v>79718</v>
      </c>
      <c r="I29" s="8">
        <v>2678254.7599999998</v>
      </c>
      <c r="J29" s="9">
        <v>1973</v>
      </c>
    </row>
    <row r="30" spans="1:10" x14ac:dyDescent="0.3">
      <c r="A30" s="5" t="s">
        <v>79</v>
      </c>
      <c r="B30" s="24">
        <v>45576</v>
      </c>
      <c r="C30" s="7">
        <v>0.79092592592592592</v>
      </c>
      <c r="D30" s="6">
        <v>45576</v>
      </c>
      <c r="E30" s="5" t="s">
        <v>52</v>
      </c>
      <c r="F30" s="5" t="s">
        <v>44</v>
      </c>
      <c r="G30" s="5" t="s">
        <v>63</v>
      </c>
      <c r="H30" s="8">
        <v>4768.67</v>
      </c>
      <c r="I30" s="8">
        <v>282367.93</v>
      </c>
      <c r="J30" s="9">
        <v>123</v>
      </c>
    </row>
    <row r="31" spans="1:10" x14ac:dyDescent="0.3">
      <c r="A31" s="5" t="s">
        <v>80</v>
      </c>
      <c r="B31" s="24">
        <v>45577</v>
      </c>
      <c r="C31" s="7">
        <v>0.9827893518518519</v>
      </c>
      <c r="D31" s="6">
        <v>45756</v>
      </c>
      <c r="E31" s="5" t="s">
        <v>52</v>
      </c>
      <c r="F31" s="5" t="s">
        <v>44</v>
      </c>
      <c r="G31" s="5" t="s">
        <v>39</v>
      </c>
      <c r="H31" s="8">
        <v>19156.939999999999</v>
      </c>
      <c r="I31" s="8">
        <v>394065.43</v>
      </c>
      <c r="J31" s="9">
        <v>345</v>
      </c>
    </row>
    <row r="32" spans="1:10" x14ac:dyDescent="0.3">
      <c r="A32" s="5" t="s">
        <v>81</v>
      </c>
      <c r="B32" s="24">
        <v>45578</v>
      </c>
      <c r="C32" s="7">
        <v>0.33609953703703699</v>
      </c>
      <c r="D32" s="6">
        <v>45708</v>
      </c>
      <c r="E32" s="5" t="s">
        <v>65</v>
      </c>
      <c r="F32" s="5" t="s">
        <v>48</v>
      </c>
      <c r="G32" s="5" t="s">
        <v>39</v>
      </c>
      <c r="H32" s="8">
        <v>60040.77</v>
      </c>
      <c r="I32" s="8">
        <v>549352.06999999995</v>
      </c>
      <c r="J32" s="9">
        <v>397</v>
      </c>
    </row>
    <row r="33" spans="1:10" x14ac:dyDescent="0.3">
      <c r="A33" s="5" t="s">
        <v>82</v>
      </c>
      <c r="B33" s="24">
        <v>45579</v>
      </c>
      <c r="C33" s="7">
        <v>0.81156249999999996</v>
      </c>
      <c r="D33" s="6">
        <v>45502</v>
      </c>
      <c r="E33" s="5" t="s">
        <v>52</v>
      </c>
      <c r="F33" s="5" t="s">
        <v>38</v>
      </c>
      <c r="G33" s="5" t="s">
        <v>42</v>
      </c>
      <c r="H33" s="8">
        <v>14353.84</v>
      </c>
      <c r="I33" s="8">
        <v>166250.23000000001</v>
      </c>
      <c r="J33" s="9">
        <v>92</v>
      </c>
    </row>
    <row r="34" spans="1:10" x14ac:dyDescent="0.3">
      <c r="A34" s="5" t="s">
        <v>83</v>
      </c>
      <c r="B34" s="24">
        <v>45580</v>
      </c>
      <c r="C34" s="7">
        <v>0.44577546296296289</v>
      </c>
      <c r="D34" s="6">
        <v>45965</v>
      </c>
      <c r="E34" s="5" t="s">
        <v>52</v>
      </c>
      <c r="F34" s="5" t="s">
        <v>48</v>
      </c>
      <c r="G34" s="5" t="s">
        <v>55</v>
      </c>
      <c r="H34" s="8">
        <v>22483.31</v>
      </c>
      <c r="I34" s="8">
        <v>1195411.22</v>
      </c>
      <c r="J34" s="9">
        <v>450</v>
      </c>
    </row>
    <row r="35" spans="1:10" x14ac:dyDescent="0.3">
      <c r="A35" s="5" t="s">
        <v>84</v>
      </c>
      <c r="B35" s="24">
        <v>45581</v>
      </c>
      <c r="C35" s="7">
        <v>0.64656250000000004</v>
      </c>
      <c r="D35" s="6">
        <v>45846</v>
      </c>
      <c r="E35" s="5" t="s">
        <v>65</v>
      </c>
      <c r="F35" s="5" t="s">
        <v>38</v>
      </c>
      <c r="G35" s="5" t="s">
        <v>55</v>
      </c>
      <c r="H35" s="8">
        <v>6169.22</v>
      </c>
      <c r="I35" s="8">
        <v>169221.9</v>
      </c>
      <c r="J35" s="9">
        <v>69</v>
      </c>
    </row>
    <row r="36" spans="1:10" x14ac:dyDescent="0.3">
      <c r="A36" s="5" t="s">
        <v>85</v>
      </c>
      <c r="B36" s="24">
        <v>45582</v>
      </c>
      <c r="C36" s="7">
        <v>0.96400462962962963</v>
      </c>
      <c r="D36" s="6">
        <v>45719</v>
      </c>
      <c r="E36" s="5" t="s">
        <v>65</v>
      </c>
      <c r="F36" s="5" t="s">
        <v>48</v>
      </c>
      <c r="G36" s="5" t="s">
        <v>39</v>
      </c>
      <c r="H36" s="8">
        <v>55938.94</v>
      </c>
      <c r="I36" s="8">
        <v>3164903.05</v>
      </c>
      <c r="J36" s="9">
        <v>2305</v>
      </c>
    </row>
    <row r="37" spans="1:10" x14ac:dyDescent="0.3">
      <c r="A37" s="5" t="s">
        <v>86</v>
      </c>
      <c r="B37" s="24">
        <v>45583</v>
      </c>
      <c r="C37" s="7">
        <v>0.89329861111111108</v>
      </c>
      <c r="D37" s="6">
        <v>45587</v>
      </c>
      <c r="E37" s="5" t="s">
        <v>65</v>
      </c>
      <c r="F37" s="5" t="s">
        <v>44</v>
      </c>
      <c r="G37" s="5" t="s">
        <v>63</v>
      </c>
      <c r="H37" s="8">
        <v>90807.94</v>
      </c>
      <c r="I37" s="8">
        <v>782299.9</v>
      </c>
      <c r="J37" s="9">
        <v>2142</v>
      </c>
    </row>
    <row r="38" spans="1:10" x14ac:dyDescent="0.3">
      <c r="A38" s="5" t="s">
        <v>87</v>
      </c>
      <c r="B38" s="24">
        <v>45584</v>
      </c>
      <c r="C38" s="7">
        <v>0.63837962962962957</v>
      </c>
      <c r="D38" s="6">
        <v>45701</v>
      </c>
      <c r="E38" s="5" t="s">
        <v>78</v>
      </c>
      <c r="F38" s="5" t="s">
        <v>50</v>
      </c>
      <c r="G38" s="5" t="s">
        <v>55</v>
      </c>
      <c r="H38" s="8">
        <v>24990.080000000002</v>
      </c>
      <c r="I38" s="8">
        <v>1348865.72</v>
      </c>
      <c r="J38" s="9">
        <v>781</v>
      </c>
    </row>
    <row r="39" spans="1:10" x14ac:dyDescent="0.3">
      <c r="A39" s="5" t="s">
        <v>88</v>
      </c>
      <c r="B39" s="24">
        <v>45585</v>
      </c>
      <c r="C39" s="7">
        <v>0.60116898148148146</v>
      </c>
      <c r="D39" s="6">
        <v>45596</v>
      </c>
      <c r="E39" s="5" t="s">
        <v>59</v>
      </c>
      <c r="F39" s="5" t="s">
        <v>48</v>
      </c>
      <c r="G39" s="5" t="s">
        <v>42</v>
      </c>
      <c r="H39" s="8">
        <v>21093.57</v>
      </c>
      <c r="I39" s="8">
        <v>953026.53</v>
      </c>
      <c r="J39" s="9">
        <v>694</v>
      </c>
    </row>
    <row r="40" spans="1:10" x14ac:dyDescent="0.3">
      <c r="A40" s="5" t="s">
        <v>89</v>
      </c>
      <c r="B40" s="24">
        <v>45586</v>
      </c>
      <c r="C40" s="7">
        <v>0.5552083333333333</v>
      </c>
      <c r="D40" s="6">
        <v>45718</v>
      </c>
      <c r="E40" s="5" t="s">
        <v>59</v>
      </c>
      <c r="F40" s="5" t="s">
        <v>48</v>
      </c>
      <c r="G40" s="5" t="s">
        <v>39</v>
      </c>
      <c r="H40" s="8">
        <v>13992.89</v>
      </c>
      <c r="I40" s="8">
        <v>351541.56</v>
      </c>
      <c r="J40" s="9">
        <v>195</v>
      </c>
    </row>
    <row r="41" spans="1:10" x14ac:dyDescent="0.3">
      <c r="A41" s="5" t="s">
        <v>90</v>
      </c>
      <c r="B41" s="24">
        <v>45587</v>
      </c>
      <c r="C41" s="7">
        <v>0.9877893518518519</v>
      </c>
      <c r="D41" s="6">
        <v>45386</v>
      </c>
      <c r="E41" s="5" t="s">
        <v>37</v>
      </c>
      <c r="F41" s="5" t="s">
        <v>48</v>
      </c>
      <c r="G41" s="5" t="s">
        <v>63</v>
      </c>
      <c r="H41" s="8">
        <v>24874.07</v>
      </c>
      <c r="I41" s="8">
        <v>1060489.94</v>
      </c>
      <c r="J41" s="9">
        <v>321</v>
      </c>
    </row>
    <row r="42" spans="1:10" x14ac:dyDescent="0.3">
      <c r="A42" s="5" t="s">
        <v>91</v>
      </c>
      <c r="B42" s="24">
        <v>45588</v>
      </c>
      <c r="C42" s="7">
        <v>0.38241898148148151</v>
      </c>
      <c r="D42" s="6">
        <v>45549</v>
      </c>
      <c r="E42" s="5" t="s">
        <v>41</v>
      </c>
      <c r="F42" s="5" t="s">
        <v>44</v>
      </c>
      <c r="G42" s="5" t="s">
        <v>55</v>
      </c>
      <c r="H42" s="8">
        <v>25190.29</v>
      </c>
      <c r="I42" s="8">
        <v>161660.81</v>
      </c>
      <c r="J42" s="9">
        <v>669</v>
      </c>
    </row>
    <row r="43" spans="1:10" x14ac:dyDescent="0.3">
      <c r="A43" s="5" t="s">
        <v>92</v>
      </c>
      <c r="B43" s="24">
        <v>45589</v>
      </c>
      <c r="C43" s="7">
        <v>0.46126157407407409</v>
      </c>
      <c r="D43" s="6">
        <v>45569</v>
      </c>
      <c r="E43" s="5" t="s">
        <v>65</v>
      </c>
      <c r="F43" s="5" t="s">
        <v>50</v>
      </c>
      <c r="G43" s="5" t="s">
        <v>63</v>
      </c>
      <c r="H43" s="8">
        <v>5463.9</v>
      </c>
      <c r="I43" s="8">
        <v>55939.54</v>
      </c>
      <c r="J43" s="9">
        <v>243</v>
      </c>
    </row>
    <row r="44" spans="1:10" x14ac:dyDescent="0.3">
      <c r="A44" s="5" t="s">
        <v>93</v>
      </c>
      <c r="B44" s="24">
        <v>45590</v>
      </c>
      <c r="C44" s="7">
        <v>0.9568402777777778</v>
      </c>
      <c r="D44" s="6">
        <v>45444</v>
      </c>
      <c r="E44" s="5" t="s">
        <v>78</v>
      </c>
      <c r="F44" s="5" t="s">
        <v>44</v>
      </c>
      <c r="G44" s="5" t="s">
        <v>63</v>
      </c>
      <c r="H44" s="8">
        <v>24396.78</v>
      </c>
      <c r="I44" s="8">
        <v>1314356.6399999999</v>
      </c>
      <c r="J44" s="9">
        <v>1424</v>
      </c>
    </row>
    <row r="45" spans="1:10" x14ac:dyDescent="0.3">
      <c r="A45" s="5" t="s">
        <v>94</v>
      </c>
      <c r="B45" s="24">
        <v>45591</v>
      </c>
      <c r="C45" s="7">
        <v>0.89946759259259257</v>
      </c>
      <c r="D45" s="6">
        <v>45529</v>
      </c>
      <c r="E45" s="5" t="s">
        <v>52</v>
      </c>
      <c r="F45" s="5" t="s">
        <v>44</v>
      </c>
      <c r="G45" s="5" t="s">
        <v>55</v>
      </c>
      <c r="H45" s="8">
        <v>54510.52</v>
      </c>
      <c r="I45" s="8">
        <v>925064.42</v>
      </c>
      <c r="J45" s="9">
        <v>1093</v>
      </c>
    </row>
    <row r="46" spans="1:10" x14ac:dyDescent="0.3">
      <c r="A46" s="5" t="s">
        <v>95</v>
      </c>
      <c r="B46" s="24">
        <v>45592</v>
      </c>
      <c r="C46" s="7">
        <v>0.87385416666666671</v>
      </c>
      <c r="D46" s="6">
        <v>45659</v>
      </c>
      <c r="E46" s="5" t="s">
        <v>52</v>
      </c>
      <c r="F46" s="5" t="s">
        <v>44</v>
      </c>
      <c r="G46" s="5" t="s">
        <v>55</v>
      </c>
      <c r="H46" s="8">
        <v>12441.03</v>
      </c>
      <c r="I46" s="8">
        <v>402150.44</v>
      </c>
      <c r="J46" s="9">
        <v>199</v>
      </c>
    </row>
    <row r="47" spans="1:10" x14ac:dyDescent="0.3">
      <c r="A47" s="5" t="s">
        <v>96</v>
      </c>
      <c r="B47" s="24">
        <v>45593</v>
      </c>
      <c r="C47" s="7">
        <v>0.85217592592592595</v>
      </c>
      <c r="D47" s="6">
        <v>45615</v>
      </c>
      <c r="E47" s="5" t="s">
        <v>59</v>
      </c>
      <c r="F47" s="5" t="s">
        <v>50</v>
      </c>
      <c r="G47" s="5" t="s">
        <v>45</v>
      </c>
      <c r="H47" s="8">
        <v>25746.02</v>
      </c>
      <c r="I47" s="8">
        <v>838509.81</v>
      </c>
      <c r="J47" s="9">
        <v>1403</v>
      </c>
    </row>
    <row r="48" spans="1:10" x14ac:dyDescent="0.3">
      <c r="A48" s="5" t="s">
        <v>97</v>
      </c>
      <c r="B48" s="24">
        <v>45594</v>
      </c>
      <c r="C48" s="7">
        <v>0.96684027777777781</v>
      </c>
      <c r="D48" s="6">
        <v>45786</v>
      </c>
      <c r="E48" s="5" t="s">
        <v>41</v>
      </c>
      <c r="F48" s="5" t="s">
        <v>50</v>
      </c>
      <c r="G48" s="5" t="s">
        <v>55</v>
      </c>
      <c r="H48" s="8">
        <v>8063.43</v>
      </c>
      <c r="I48" s="8">
        <v>19334.07</v>
      </c>
      <c r="J48" s="9">
        <v>297</v>
      </c>
    </row>
    <row r="49" spans="1:10" x14ac:dyDescent="0.3">
      <c r="A49" s="5" t="s">
        <v>98</v>
      </c>
      <c r="B49" s="24">
        <v>45595</v>
      </c>
      <c r="C49" s="7">
        <v>0.34121527777777783</v>
      </c>
      <c r="D49" s="6">
        <v>45682</v>
      </c>
      <c r="E49" s="5" t="s">
        <v>65</v>
      </c>
      <c r="F49" s="5" t="s">
        <v>38</v>
      </c>
      <c r="G49" s="5" t="s">
        <v>63</v>
      </c>
      <c r="H49" s="8">
        <v>62207.27</v>
      </c>
      <c r="I49" s="8">
        <v>2482431.02</v>
      </c>
      <c r="J49" s="9">
        <v>2399</v>
      </c>
    </row>
    <row r="50" spans="1:10" x14ac:dyDescent="0.3">
      <c r="A50" s="5" t="s">
        <v>99</v>
      </c>
      <c r="B50" s="24">
        <v>45596</v>
      </c>
      <c r="C50" s="7">
        <v>0.96203703703703702</v>
      </c>
      <c r="D50" s="6">
        <v>45562</v>
      </c>
      <c r="E50" s="5" t="s">
        <v>59</v>
      </c>
      <c r="F50" s="5" t="s">
        <v>50</v>
      </c>
      <c r="G50" s="5" t="s">
        <v>42</v>
      </c>
      <c r="H50" s="8">
        <v>69538.48</v>
      </c>
      <c r="I50" s="8">
        <v>3490050.28</v>
      </c>
      <c r="J50" s="9">
        <v>1307</v>
      </c>
    </row>
    <row r="51" spans="1:10" x14ac:dyDescent="0.3">
      <c r="A51" s="5" t="s">
        <v>100</v>
      </c>
      <c r="B51" s="24">
        <v>45597</v>
      </c>
      <c r="C51" s="7">
        <v>0.55782407407407408</v>
      </c>
      <c r="D51" s="6">
        <v>45507</v>
      </c>
      <c r="E51" s="5" t="s">
        <v>59</v>
      </c>
      <c r="F51" s="5" t="s">
        <v>38</v>
      </c>
      <c r="G51" s="5" t="s">
        <v>55</v>
      </c>
      <c r="H51" s="8">
        <v>124900.71</v>
      </c>
      <c r="I51" s="8">
        <v>4757308.97</v>
      </c>
      <c r="J51" s="9">
        <v>800</v>
      </c>
    </row>
    <row r="52" spans="1:10" x14ac:dyDescent="0.3">
      <c r="A52" s="5" t="s">
        <v>101</v>
      </c>
      <c r="B52" s="24">
        <v>45598</v>
      </c>
      <c r="C52" s="7">
        <v>0.53890046296296301</v>
      </c>
      <c r="D52" s="6">
        <v>45753</v>
      </c>
      <c r="E52" s="5" t="s">
        <v>52</v>
      </c>
      <c r="F52" s="5" t="s">
        <v>50</v>
      </c>
      <c r="G52" s="5" t="s">
        <v>39</v>
      </c>
      <c r="H52" s="8">
        <v>22925.06</v>
      </c>
      <c r="I52" s="8">
        <v>359223.23</v>
      </c>
      <c r="J52" s="9">
        <v>502</v>
      </c>
    </row>
    <row r="53" spans="1:10" x14ac:dyDescent="0.3">
      <c r="A53" s="5" t="s">
        <v>102</v>
      </c>
      <c r="B53" s="24">
        <v>45599</v>
      </c>
      <c r="C53" s="7">
        <v>0.80863425925925925</v>
      </c>
      <c r="D53" s="6">
        <v>45394</v>
      </c>
      <c r="E53" s="5" t="s">
        <v>37</v>
      </c>
      <c r="F53" s="5" t="s">
        <v>50</v>
      </c>
      <c r="G53" s="5" t="s">
        <v>45</v>
      </c>
      <c r="H53" s="8">
        <v>5982.44</v>
      </c>
      <c r="I53" s="8">
        <v>349365.2</v>
      </c>
      <c r="J53" s="9">
        <v>97</v>
      </c>
    </row>
    <row r="54" spans="1:10" x14ac:dyDescent="0.3">
      <c r="A54" s="5" t="s">
        <v>103</v>
      </c>
      <c r="B54" s="24">
        <v>45600</v>
      </c>
      <c r="C54" s="7">
        <v>0.9259722222222222</v>
      </c>
      <c r="D54" s="6">
        <v>45556</v>
      </c>
      <c r="E54" s="5" t="s">
        <v>37</v>
      </c>
      <c r="F54" s="5" t="s">
        <v>44</v>
      </c>
      <c r="G54" s="5" t="s">
        <v>55</v>
      </c>
      <c r="H54" s="8">
        <v>49368.04</v>
      </c>
      <c r="I54" s="8">
        <v>1042503.31</v>
      </c>
      <c r="J54" s="9">
        <v>220</v>
      </c>
    </row>
    <row r="55" spans="1:10" x14ac:dyDescent="0.3">
      <c r="A55" s="5" t="s">
        <v>104</v>
      </c>
      <c r="B55" s="24">
        <v>45601</v>
      </c>
      <c r="C55" s="7">
        <v>0.59847222222222218</v>
      </c>
      <c r="D55" s="6">
        <v>45949</v>
      </c>
      <c r="E55" s="5" t="s">
        <v>41</v>
      </c>
      <c r="F55" s="5" t="s">
        <v>38</v>
      </c>
      <c r="G55" s="5" t="s">
        <v>45</v>
      </c>
      <c r="H55" s="8">
        <v>5917.25</v>
      </c>
      <c r="I55" s="8">
        <v>291703.21000000002</v>
      </c>
      <c r="J55" s="9">
        <v>210</v>
      </c>
    </row>
    <row r="56" spans="1:10" x14ac:dyDescent="0.3">
      <c r="A56" s="5" t="s">
        <v>105</v>
      </c>
      <c r="B56" s="24">
        <v>45602</v>
      </c>
      <c r="C56" s="7">
        <v>0.31339120370370371</v>
      </c>
      <c r="D56" s="6">
        <v>45627</v>
      </c>
      <c r="E56" s="5" t="s">
        <v>78</v>
      </c>
      <c r="F56" s="5" t="s">
        <v>44</v>
      </c>
      <c r="G56" s="5" t="s">
        <v>55</v>
      </c>
      <c r="H56" s="8">
        <v>5189.57</v>
      </c>
      <c r="I56" s="8">
        <v>185561.49</v>
      </c>
      <c r="J56" s="9">
        <v>82</v>
      </c>
    </row>
    <row r="57" spans="1:10" x14ac:dyDescent="0.3">
      <c r="A57" s="5" t="s">
        <v>106</v>
      </c>
      <c r="B57" s="24">
        <v>45603</v>
      </c>
      <c r="C57" s="7">
        <v>0.71438657407407402</v>
      </c>
      <c r="D57" s="6">
        <v>45784</v>
      </c>
      <c r="E57" s="5" t="s">
        <v>37</v>
      </c>
      <c r="F57" s="5" t="s">
        <v>48</v>
      </c>
      <c r="G57" s="5" t="s">
        <v>42</v>
      </c>
      <c r="H57" s="8">
        <v>100431.45</v>
      </c>
      <c r="I57" s="8">
        <v>1820252.73</v>
      </c>
      <c r="J57" s="9">
        <v>731</v>
      </c>
    </row>
    <row r="58" spans="1:10" x14ac:dyDescent="0.3">
      <c r="A58" s="5" t="s">
        <v>107</v>
      </c>
      <c r="B58" s="24">
        <v>45604</v>
      </c>
      <c r="C58" s="7">
        <v>0.94004629629629632</v>
      </c>
      <c r="D58" s="6">
        <v>45954</v>
      </c>
      <c r="E58" s="5" t="s">
        <v>78</v>
      </c>
      <c r="F58" s="5" t="s">
        <v>48</v>
      </c>
      <c r="G58" s="5" t="s">
        <v>39</v>
      </c>
      <c r="H58" s="8">
        <v>88000.81</v>
      </c>
      <c r="I58" s="8">
        <v>849163.39</v>
      </c>
      <c r="J58" s="9">
        <v>429</v>
      </c>
    </row>
    <row r="59" spans="1:10" x14ac:dyDescent="0.3">
      <c r="A59" s="5" t="s">
        <v>108</v>
      </c>
      <c r="B59" s="24">
        <v>45605</v>
      </c>
      <c r="C59" s="7">
        <v>0.50366898148148154</v>
      </c>
      <c r="D59" s="6">
        <v>45347</v>
      </c>
      <c r="E59" s="5" t="s">
        <v>78</v>
      </c>
      <c r="F59" s="5" t="s">
        <v>44</v>
      </c>
      <c r="G59" s="5" t="s">
        <v>55</v>
      </c>
      <c r="H59" s="8">
        <v>83834.179999999993</v>
      </c>
      <c r="I59" s="8">
        <v>278571.82</v>
      </c>
      <c r="J59" s="9">
        <v>1526</v>
      </c>
    </row>
    <row r="60" spans="1:10" x14ac:dyDescent="0.3">
      <c r="A60" s="5" t="s">
        <v>109</v>
      </c>
      <c r="B60" s="24">
        <v>45606</v>
      </c>
      <c r="C60" s="7">
        <v>0.55862268518518521</v>
      </c>
      <c r="D60" s="6">
        <v>45903</v>
      </c>
      <c r="E60" s="5" t="s">
        <v>52</v>
      </c>
      <c r="F60" s="5" t="s">
        <v>38</v>
      </c>
      <c r="G60" s="5" t="s">
        <v>55</v>
      </c>
      <c r="H60" s="8">
        <v>13830.21</v>
      </c>
      <c r="I60" s="8">
        <v>527404.66</v>
      </c>
      <c r="J60" s="9">
        <v>626</v>
      </c>
    </row>
    <row r="61" spans="1:10" x14ac:dyDescent="0.3">
      <c r="A61" s="5" t="s">
        <v>110</v>
      </c>
      <c r="B61" s="24">
        <v>45607</v>
      </c>
      <c r="C61" s="7">
        <v>0.85230324074074071</v>
      </c>
      <c r="D61" s="6">
        <v>45498</v>
      </c>
      <c r="E61" s="5" t="s">
        <v>78</v>
      </c>
      <c r="F61" s="5" t="s">
        <v>38</v>
      </c>
      <c r="G61" s="5" t="s">
        <v>39</v>
      </c>
      <c r="H61" s="8">
        <v>33066.18</v>
      </c>
      <c r="I61" s="8">
        <v>177365.2</v>
      </c>
      <c r="J61" s="9">
        <v>504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selection activeCell="D6" sqref="D6"/>
    </sheetView>
  </sheetViews>
  <sheetFormatPr defaultRowHeight="14.4" x14ac:dyDescent="0.3"/>
  <cols>
    <col min="1" max="1" width="22" customWidth="1"/>
    <col min="2" max="2" width="16" customWidth="1"/>
    <col min="3" max="3" width="17.44140625" customWidth="1"/>
    <col min="4" max="4" width="18.109375" customWidth="1"/>
    <col min="5" max="5" width="16" customWidth="1"/>
  </cols>
  <sheetData>
    <row r="1" spans="1:5" x14ac:dyDescent="0.3">
      <c r="A1" s="22" t="s">
        <v>179</v>
      </c>
      <c r="B1" s="23"/>
      <c r="C1" s="23"/>
      <c r="D1" s="23"/>
    </row>
    <row r="2" spans="1:5" x14ac:dyDescent="0.3">
      <c r="A2" s="4" t="s">
        <v>31</v>
      </c>
      <c r="B2" s="4" t="s">
        <v>111</v>
      </c>
      <c r="C2" s="4" t="s">
        <v>112</v>
      </c>
      <c r="D2" s="4" t="s">
        <v>113</v>
      </c>
    </row>
    <row r="3" spans="1:5" x14ac:dyDescent="0.3">
      <c r="A3" s="5" t="s">
        <v>41</v>
      </c>
      <c r="B3" s="5" t="s">
        <v>114</v>
      </c>
      <c r="C3" s="5" t="s">
        <v>115</v>
      </c>
      <c r="D3" s="5" t="s">
        <v>116</v>
      </c>
    </row>
    <row r="4" spans="1:5" x14ac:dyDescent="0.3">
      <c r="A4" s="5" t="s">
        <v>59</v>
      </c>
      <c r="B4" s="5" t="s">
        <v>117</v>
      </c>
      <c r="C4" s="5" t="s">
        <v>118</v>
      </c>
      <c r="D4" s="5" t="s">
        <v>119</v>
      </c>
    </row>
    <row r="5" spans="1:5" x14ac:dyDescent="0.3">
      <c r="A5" s="5" t="s">
        <v>37</v>
      </c>
      <c r="B5" s="5" t="s">
        <v>120</v>
      </c>
      <c r="C5" s="5" t="s">
        <v>121</v>
      </c>
      <c r="D5" s="5" t="s">
        <v>119</v>
      </c>
    </row>
    <row r="6" spans="1:5" x14ac:dyDescent="0.3">
      <c r="A6" s="5" t="s">
        <v>65</v>
      </c>
      <c r="B6" s="5" t="s">
        <v>117</v>
      </c>
      <c r="C6" s="5" t="s">
        <v>118</v>
      </c>
      <c r="D6" s="5" t="s">
        <v>119</v>
      </c>
    </row>
    <row r="7" spans="1:5" x14ac:dyDescent="0.3">
      <c r="A7" s="5" t="s">
        <v>52</v>
      </c>
      <c r="B7" s="5" t="s">
        <v>117</v>
      </c>
      <c r="C7" s="5" t="s">
        <v>122</v>
      </c>
      <c r="D7" s="5" t="s">
        <v>119</v>
      </c>
    </row>
    <row r="8" spans="1:5" x14ac:dyDescent="0.3">
      <c r="A8" s="5" t="s">
        <v>78</v>
      </c>
      <c r="B8" s="5" t="s">
        <v>117</v>
      </c>
      <c r="C8" s="5" t="s">
        <v>123</v>
      </c>
      <c r="D8" s="5" t="s">
        <v>119</v>
      </c>
    </row>
    <row r="11" spans="1:5" x14ac:dyDescent="0.3">
      <c r="A11" s="22" t="s">
        <v>178</v>
      </c>
      <c r="B11" s="23"/>
      <c r="C11" s="23"/>
      <c r="D11" s="23"/>
      <c r="E11" s="23"/>
    </row>
    <row r="12" spans="1:5" x14ac:dyDescent="0.3">
      <c r="A12" s="4" t="s">
        <v>32</v>
      </c>
      <c r="B12" s="4" t="s">
        <v>38</v>
      </c>
      <c r="C12" s="4" t="s">
        <v>44</v>
      </c>
      <c r="D12" s="4" t="s">
        <v>50</v>
      </c>
      <c r="E12" s="4" t="s">
        <v>48</v>
      </c>
    </row>
    <row r="13" spans="1:5" x14ac:dyDescent="0.3">
      <c r="A13" s="5" t="s">
        <v>124</v>
      </c>
      <c r="B13" s="9">
        <v>150000</v>
      </c>
      <c r="C13" s="9">
        <v>100000</v>
      </c>
      <c r="D13" s="9">
        <v>120000</v>
      </c>
      <c r="E13" s="9">
        <v>80000</v>
      </c>
    </row>
    <row r="14" spans="1:5" x14ac:dyDescent="0.3">
      <c r="A14" s="5" t="s">
        <v>125</v>
      </c>
      <c r="B14" s="10">
        <v>8</v>
      </c>
      <c r="C14" s="10">
        <v>10</v>
      </c>
      <c r="D14" s="10">
        <v>12</v>
      </c>
      <c r="E14" s="10">
        <v>15</v>
      </c>
    </row>
  </sheetData>
  <mergeCells count="2">
    <mergeCell ref="A11:E11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topLeftCell="B1" zoomScale="123" workbookViewId="0">
      <pane ySplit="5" topLeftCell="A6" activePane="bottomLeft" state="frozen"/>
      <selection pane="bottomLeft" activeCell="M6" sqref="M6:M25"/>
    </sheetView>
  </sheetViews>
  <sheetFormatPr defaultRowHeight="14.4" x14ac:dyDescent="0.3"/>
  <cols>
    <col min="1" max="1" width="14" customWidth="1"/>
    <col min="2" max="3" width="13" customWidth="1"/>
    <col min="4" max="6" width="9" customWidth="1"/>
    <col min="7" max="8" width="18" customWidth="1"/>
    <col min="9" max="9" width="12.21875" customWidth="1"/>
    <col min="10" max="10" width="13" customWidth="1"/>
    <col min="11" max="11" width="14" customWidth="1"/>
    <col min="12" max="12" width="12" customWidth="1"/>
    <col min="13" max="13" width="16" customWidth="1"/>
  </cols>
  <sheetData>
    <row r="1" spans="1:13" ht="17.399999999999999" x14ac:dyDescent="0.3">
      <c r="A1" s="1" t="s">
        <v>126</v>
      </c>
    </row>
    <row r="2" spans="1:13" x14ac:dyDescent="0.3">
      <c r="A2" s="11" t="s">
        <v>127</v>
      </c>
    </row>
    <row r="3" spans="1:13" x14ac:dyDescent="0.3">
      <c r="A3" s="11" t="s">
        <v>128</v>
      </c>
    </row>
    <row r="4" spans="1:13" x14ac:dyDescent="0.3">
      <c r="A4" s="11" t="s">
        <v>129</v>
      </c>
    </row>
    <row r="5" spans="1:13" ht="45" customHeight="1" x14ac:dyDescent="0.3">
      <c r="A5" s="4" t="s">
        <v>17</v>
      </c>
      <c r="B5" s="4" t="s">
        <v>29</v>
      </c>
      <c r="C5" s="4" t="s">
        <v>30</v>
      </c>
      <c r="D5" s="12" t="s">
        <v>130</v>
      </c>
      <c r="E5" s="12" t="s">
        <v>131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136</v>
      </c>
      <c r="K5" s="12" t="s">
        <v>137</v>
      </c>
      <c r="L5" s="12" t="s">
        <v>138</v>
      </c>
      <c r="M5" s="12" t="s">
        <v>139</v>
      </c>
    </row>
    <row r="6" spans="1:13" x14ac:dyDescent="0.3">
      <c r="A6" s="5" t="s">
        <v>36</v>
      </c>
      <c r="B6" s="6">
        <v>45388</v>
      </c>
      <c r="C6" s="6">
        <v>45529</v>
      </c>
      <c r="D6" s="13" cm="1">
        <f t="array" ref="D6:D25">YEAR(B6:B25)</f>
        <v>2024</v>
      </c>
      <c r="E6" s="13" cm="1">
        <f t="array" ref="E6:E25">MONTH(B6:B25)</f>
        <v>4</v>
      </c>
      <c r="F6" s="13">
        <f>DAY(B6)</f>
        <v>6</v>
      </c>
      <c r="G6" s="14" cm="1">
        <f t="array" ref="G6:G25">DATE(_xlfn.ANCHORARRAY(D6),_xlfn.ANCHORARRAY(E6),F6:F25)</f>
        <v>45388</v>
      </c>
      <c r="H6" s="14">
        <f>EDATE(B6,3)</f>
        <v>45479</v>
      </c>
      <c r="I6" s="13">
        <f>WEEKDAY(B6,1)</f>
        <v>7</v>
      </c>
      <c r="J6" s="13" t="str">
        <f>TEXT(B6,"dddd")</f>
        <v>Saturday</v>
      </c>
      <c r="K6" s="13" t="str">
        <f>TEXT(B6,"mmm yyyy")</f>
        <v>Apr 2024</v>
      </c>
      <c r="L6" s="13">
        <f>DATEDIF(B6,C6,"D")</f>
        <v>141</v>
      </c>
      <c r="M6" s="13">
        <f>DATEDIF(B6,C6,"M")</f>
        <v>4</v>
      </c>
    </row>
    <row r="7" spans="1:13" x14ac:dyDescent="0.3">
      <c r="A7" s="5" t="s">
        <v>40</v>
      </c>
      <c r="B7" s="6">
        <v>45726</v>
      </c>
      <c r="C7" s="6">
        <v>45810</v>
      </c>
      <c r="D7" s="13">
        <v>2025</v>
      </c>
      <c r="E7" s="13">
        <v>3</v>
      </c>
      <c r="F7" s="13" cm="1">
        <f t="array" ref="F7:F25">DAY(B7:B25)</f>
        <v>10</v>
      </c>
      <c r="G7" s="14">
        <v>45726</v>
      </c>
      <c r="H7" s="14">
        <f t="shared" ref="H7:H25" si="0">EDATE(B7,3)</f>
        <v>45818</v>
      </c>
      <c r="I7" s="13">
        <f t="shared" ref="I7:I25" si="1">WEEKDAY(B7,1)</f>
        <v>2</v>
      </c>
      <c r="J7" s="13" t="str">
        <f t="shared" ref="J7:J25" si="2">TEXT(B7,"dddd")</f>
        <v>Monday</v>
      </c>
      <c r="K7" s="13" t="str">
        <f t="shared" ref="K7:K25" si="3">TEXT(B7,"mmm yyyy")</f>
        <v>Mar 2025</v>
      </c>
      <c r="L7" s="13">
        <f t="shared" ref="L7:L25" si="4">DATEDIF(B7,C7,"D")</f>
        <v>84</v>
      </c>
      <c r="M7" s="13">
        <f t="shared" ref="M7:M25" si="5">DATEDIF(B7,C7,"M")</f>
        <v>2</v>
      </c>
    </row>
    <row r="8" spans="1:13" x14ac:dyDescent="0.3">
      <c r="A8" s="5" t="s">
        <v>43</v>
      </c>
      <c r="B8" s="6">
        <v>45518</v>
      </c>
      <c r="C8" s="6">
        <v>45557</v>
      </c>
      <c r="D8" s="13">
        <v>2024</v>
      </c>
      <c r="E8" s="13">
        <v>8</v>
      </c>
      <c r="F8" s="13">
        <v>14</v>
      </c>
      <c r="G8" s="14">
        <v>45518</v>
      </c>
      <c r="H8" s="14">
        <f t="shared" si="0"/>
        <v>45610</v>
      </c>
      <c r="I8" s="13">
        <f t="shared" si="1"/>
        <v>4</v>
      </c>
      <c r="J8" s="13" t="str">
        <f t="shared" si="2"/>
        <v>Wednesday</v>
      </c>
      <c r="K8" s="13" t="str">
        <f t="shared" si="3"/>
        <v>Aug 2024</v>
      </c>
      <c r="L8" s="13">
        <f t="shared" si="4"/>
        <v>39</v>
      </c>
      <c r="M8" s="13">
        <f t="shared" si="5"/>
        <v>1</v>
      </c>
    </row>
    <row r="9" spans="1:13" x14ac:dyDescent="0.3">
      <c r="A9" s="5" t="s">
        <v>46</v>
      </c>
      <c r="B9" s="6">
        <v>45477</v>
      </c>
      <c r="C9" s="6">
        <v>45564</v>
      </c>
      <c r="D9" s="13">
        <v>2024</v>
      </c>
      <c r="E9" s="13">
        <v>7</v>
      </c>
      <c r="F9" s="13">
        <v>4</v>
      </c>
      <c r="G9" s="14">
        <v>45477</v>
      </c>
      <c r="H9" s="14">
        <f t="shared" si="0"/>
        <v>45569</v>
      </c>
      <c r="I9" s="13">
        <f t="shared" si="1"/>
        <v>5</v>
      </c>
      <c r="J9" s="13" t="str">
        <f t="shared" si="2"/>
        <v>Thursday</v>
      </c>
      <c r="K9" s="13" t="str">
        <f t="shared" si="3"/>
        <v>Jul 2024</v>
      </c>
      <c r="L9" s="13">
        <f t="shared" si="4"/>
        <v>87</v>
      </c>
      <c r="M9" s="13">
        <f t="shared" si="5"/>
        <v>2</v>
      </c>
    </row>
    <row r="10" spans="1:13" x14ac:dyDescent="0.3">
      <c r="A10" s="5" t="s">
        <v>47</v>
      </c>
      <c r="B10" s="6">
        <v>45729</v>
      </c>
      <c r="C10" s="6">
        <v>45809</v>
      </c>
      <c r="D10" s="13">
        <v>2025</v>
      </c>
      <c r="E10" s="13">
        <v>3</v>
      </c>
      <c r="F10" s="13">
        <v>13</v>
      </c>
      <c r="G10" s="14">
        <v>45729</v>
      </c>
      <c r="H10" s="14">
        <f t="shared" si="0"/>
        <v>45821</v>
      </c>
      <c r="I10" s="13">
        <f t="shared" si="1"/>
        <v>5</v>
      </c>
      <c r="J10" s="13" t="str">
        <f t="shared" si="2"/>
        <v>Thursday</v>
      </c>
      <c r="K10" s="13" t="str">
        <f t="shared" si="3"/>
        <v>Mar 2025</v>
      </c>
      <c r="L10" s="13">
        <f t="shared" si="4"/>
        <v>80</v>
      </c>
      <c r="M10" s="13">
        <f t="shared" si="5"/>
        <v>2</v>
      </c>
    </row>
    <row r="11" spans="1:13" x14ac:dyDescent="0.3">
      <c r="A11" s="5" t="s">
        <v>49</v>
      </c>
      <c r="B11" s="6">
        <v>45541</v>
      </c>
      <c r="C11" s="6">
        <v>45613</v>
      </c>
      <c r="D11" s="13">
        <v>2024</v>
      </c>
      <c r="E11" s="13">
        <v>9</v>
      </c>
      <c r="F11" s="13">
        <v>6</v>
      </c>
      <c r="G11" s="14">
        <v>45541</v>
      </c>
      <c r="H11" s="14">
        <f t="shared" si="0"/>
        <v>45632</v>
      </c>
      <c r="I11" s="13">
        <f t="shared" si="1"/>
        <v>6</v>
      </c>
      <c r="J11" s="13" t="str">
        <f t="shared" si="2"/>
        <v>Friday</v>
      </c>
      <c r="K11" s="13" t="str">
        <f t="shared" si="3"/>
        <v>Sep 2024</v>
      </c>
      <c r="L11" s="13">
        <f t="shared" si="4"/>
        <v>72</v>
      </c>
      <c r="M11" s="13">
        <f t="shared" si="5"/>
        <v>2</v>
      </c>
    </row>
    <row r="12" spans="1:13" x14ac:dyDescent="0.3">
      <c r="A12" s="5" t="s">
        <v>51</v>
      </c>
      <c r="B12" s="6">
        <v>45412</v>
      </c>
      <c r="C12" s="6">
        <v>45491</v>
      </c>
      <c r="D12" s="13">
        <v>2024</v>
      </c>
      <c r="E12" s="13">
        <v>4</v>
      </c>
      <c r="F12" s="13">
        <v>30</v>
      </c>
      <c r="G12" s="14">
        <v>45412</v>
      </c>
      <c r="H12" s="14">
        <f t="shared" si="0"/>
        <v>45503</v>
      </c>
      <c r="I12" s="13">
        <f t="shared" si="1"/>
        <v>3</v>
      </c>
      <c r="J12" s="13" t="str">
        <f t="shared" si="2"/>
        <v>Tuesday</v>
      </c>
      <c r="K12" s="13" t="str">
        <f t="shared" si="3"/>
        <v>Apr 2024</v>
      </c>
      <c r="L12" s="13">
        <f t="shared" si="4"/>
        <v>79</v>
      </c>
      <c r="M12" s="13">
        <f t="shared" si="5"/>
        <v>2</v>
      </c>
    </row>
    <row r="13" spans="1:13" x14ac:dyDescent="0.3">
      <c r="A13" s="5" t="s">
        <v>53</v>
      </c>
      <c r="B13" s="6">
        <v>45371</v>
      </c>
      <c r="C13" s="6">
        <v>45557</v>
      </c>
      <c r="D13" s="13">
        <v>2024</v>
      </c>
      <c r="E13" s="13">
        <v>3</v>
      </c>
      <c r="F13" s="13">
        <v>20</v>
      </c>
      <c r="G13" s="14">
        <v>45371</v>
      </c>
      <c r="H13" s="14">
        <f t="shared" si="0"/>
        <v>45463</v>
      </c>
      <c r="I13" s="13">
        <f t="shared" si="1"/>
        <v>4</v>
      </c>
      <c r="J13" s="13" t="str">
        <f t="shared" si="2"/>
        <v>Wednesday</v>
      </c>
      <c r="K13" s="13" t="str">
        <f t="shared" si="3"/>
        <v>Mar 2024</v>
      </c>
      <c r="L13" s="13">
        <f t="shared" si="4"/>
        <v>186</v>
      </c>
      <c r="M13" s="13">
        <f t="shared" si="5"/>
        <v>6</v>
      </c>
    </row>
    <row r="14" spans="1:13" x14ac:dyDescent="0.3">
      <c r="A14" s="5" t="s">
        <v>54</v>
      </c>
      <c r="B14" s="6">
        <v>45387</v>
      </c>
      <c r="C14" s="6">
        <v>45524</v>
      </c>
      <c r="D14" s="13">
        <v>2024</v>
      </c>
      <c r="E14" s="13">
        <v>4</v>
      </c>
      <c r="F14" s="13">
        <v>5</v>
      </c>
      <c r="G14" s="14">
        <v>45387</v>
      </c>
      <c r="H14" s="14">
        <f t="shared" si="0"/>
        <v>45478</v>
      </c>
      <c r="I14" s="13">
        <f t="shared" si="1"/>
        <v>6</v>
      </c>
      <c r="J14" s="13" t="str">
        <f t="shared" si="2"/>
        <v>Friday</v>
      </c>
      <c r="K14" s="13" t="str">
        <f t="shared" si="3"/>
        <v>Apr 2024</v>
      </c>
      <c r="L14" s="13">
        <f t="shared" si="4"/>
        <v>137</v>
      </c>
      <c r="M14" s="13">
        <f t="shared" si="5"/>
        <v>4</v>
      </c>
    </row>
    <row r="15" spans="1:13" x14ac:dyDescent="0.3">
      <c r="A15" s="5" t="s">
        <v>56</v>
      </c>
      <c r="B15" s="6">
        <v>45748</v>
      </c>
      <c r="C15" s="6">
        <v>45894</v>
      </c>
      <c r="D15" s="13">
        <v>2025</v>
      </c>
      <c r="E15" s="13">
        <v>4</v>
      </c>
      <c r="F15" s="13">
        <v>1</v>
      </c>
      <c r="G15" s="14">
        <v>45748</v>
      </c>
      <c r="H15" s="14">
        <f t="shared" si="0"/>
        <v>45839</v>
      </c>
      <c r="I15" s="13">
        <f t="shared" si="1"/>
        <v>3</v>
      </c>
      <c r="J15" s="13" t="str">
        <f t="shared" si="2"/>
        <v>Tuesday</v>
      </c>
      <c r="K15" s="13" t="str">
        <f t="shared" si="3"/>
        <v>Apr 2025</v>
      </c>
      <c r="L15" s="13">
        <f t="shared" si="4"/>
        <v>146</v>
      </c>
      <c r="M15" s="13">
        <f t="shared" si="5"/>
        <v>4</v>
      </c>
    </row>
    <row r="16" spans="1:13" x14ac:dyDescent="0.3">
      <c r="A16" s="5" t="s">
        <v>57</v>
      </c>
      <c r="B16" s="6">
        <v>45515</v>
      </c>
      <c r="C16" s="6">
        <v>45632</v>
      </c>
      <c r="D16" s="13">
        <v>2024</v>
      </c>
      <c r="E16" s="13">
        <v>8</v>
      </c>
      <c r="F16" s="13">
        <v>11</v>
      </c>
      <c r="G16" s="14">
        <v>45515</v>
      </c>
      <c r="H16" s="14">
        <f t="shared" si="0"/>
        <v>45607</v>
      </c>
      <c r="I16" s="13">
        <f t="shared" si="1"/>
        <v>1</v>
      </c>
      <c r="J16" s="13" t="str">
        <f t="shared" si="2"/>
        <v>Sunday</v>
      </c>
      <c r="K16" s="13" t="str">
        <f t="shared" si="3"/>
        <v>Aug 2024</v>
      </c>
      <c r="L16" s="13">
        <f t="shared" si="4"/>
        <v>117</v>
      </c>
      <c r="M16" s="13">
        <f t="shared" si="5"/>
        <v>3</v>
      </c>
    </row>
    <row r="17" spans="1:13" x14ac:dyDescent="0.3">
      <c r="A17" s="5" t="s">
        <v>58</v>
      </c>
      <c r="B17" s="6">
        <v>45576</v>
      </c>
      <c r="C17" s="6">
        <v>45615</v>
      </c>
      <c r="D17" s="13">
        <v>2024</v>
      </c>
      <c r="E17" s="13">
        <v>10</v>
      </c>
      <c r="F17" s="13">
        <v>11</v>
      </c>
      <c r="G17" s="14">
        <v>45576</v>
      </c>
      <c r="H17" s="14">
        <f t="shared" si="0"/>
        <v>45668</v>
      </c>
      <c r="I17" s="13">
        <f t="shared" si="1"/>
        <v>6</v>
      </c>
      <c r="J17" s="13" t="str">
        <f t="shared" si="2"/>
        <v>Friday</v>
      </c>
      <c r="K17" s="13" t="str">
        <f t="shared" si="3"/>
        <v>Oct 2024</v>
      </c>
      <c r="L17" s="13">
        <f t="shared" si="4"/>
        <v>39</v>
      </c>
      <c r="M17" s="13">
        <f t="shared" si="5"/>
        <v>1</v>
      </c>
    </row>
    <row r="18" spans="1:13" x14ac:dyDescent="0.3">
      <c r="A18" s="5" t="s">
        <v>60</v>
      </c>
      <c r="B18" s="6">
        <v>45528</v>
      </c>
      <c r="C18" s="6">
        <v>45670</v>
      </c>
      <c r="D18" s="13">
        <v>2024</v>
      </c>
      <c r="E18" s="13">
        <v>8</v>
      </c>
      <c r="F18" s="13">
        <v>24</v>
      </c>
      <c r="G18" s="14">
        <v>45528</v>
      </c>
      <c r="H18" s="14">
        <f t="shared" si="0"/>
        <v>45620</v>
      </c>
      <c r="I18" s="13">
        <f t="shared" si="1"/>
        <v>7</v>
      </c>
      <c r="J18" s="13" t="str">
        <f t="shared" si="2"/>
        <v>Saturday</v>
      </c>
      <c r="K18" s="13" t="str">
        <f t="shared" si="3"/>
        <v>Aug 2024</v>
      </c>
      <c r="L18" s="13">
        <f t="shared" si="4"/>
        <v>142</v>
      </c>
      <c r="M18" s="13">
        <f t="shared" si="5"/>
        <v>4</v>
      </c>
    </row>
    <row r="19" spans="1:13" x14ac:dyDescent="0.3">
      <c r="A19" s="5" t="s">
        <v>61</v>
      </c>
      <c r="B19" s="6">
        <v>45561</v>
      </c>
      <c r="C19" s="6">
        <v>45756</v>
      </c>
      <c r="D19" s="13">
        <v>2024</v>
      </c>
      <c r="E19" s="13">
        <v>9</v>
      </c>
      <c r="F19" s="13">
        <v>26</v>
      </c>
      <c r="G19" s="14">
        <v>45561</v>
      </c>
      <c r="H19" s="14">
        <f t="shared" si="0"/>
        <v>45652</v>
      </c>
      <c r="I19" s="13">
        <f t="shared" si="1"/>
        <v>5</v>
      </c>
      <c r="J19" s="13" t="str">
        <f t="shared" si="2"/>
        <v>Thursday</v>
      </c>
      <c r="K19" s="13" t="str">
        <f t="shared" si="3"/>
        <v>Sep 2024</v>
      </c>
      <c r="L19" s="13">
        <f t="shared" si="4"/>
        <v>195</v>
      </c>
      <c r="M19" s="13">
        <f t="shared" si="5"/>
        <v>6</v>
      </c>
    </row>
    <row r="20" spans="1:13" x14ac:dyDescent="0.3">
      <c r="A20" s="5" t="s">
        <v>62</v>
      </c>
      <c r="B20" s="6">
        <v>45819</v>
      </c>
      <c r="C20" s="6">
        <v>45912</v>
      </c>
      <c r="D20" s="13">
        <v>2025</v>
      </c>
      <c r="E20" s="13">
        <v>6</v>
      </c>
      <c r="F20" s="13">
        <v>11</v>
      </c>
      <c r="G20" s="14">
        <v>45819</v>
      </c>
      <c r="H20" s="14">
        <f t="shared" si="0"/>
        <v>45911</v>
      </c>
      <c r="I20" s="13">
        <f t="shared" si="1"/>
        <v>4</v>
      </c>
      <c r="J20" s="13" t="str">
        <f t="shared" si="2"/>
        <v>Wednesday</v>
      </c>
      <c r="K20" s="13" t="str">
        <f t="shared" si="3"/>
        <v>Jun 2025</v>
      </c>
      <c r="L20" s="13">
        <f t="shared" si="4"/>
        <v>93</v>
      </c>
      <c r="M20" s="13">
        <f t="shared" si="5"/>
        <v>3</v>
      </c>
    </row>
    <row r="21" spans="1:13" x14ac:dyDescent="0.3">
      <c r="A21" s="5" t="s">
        <v>64</v>
      </c>
      <c r="B21" s="6">
        <v>45699</v>
      </c>
      <c r="C21" s="6">
        <v>45730</v>
      </c>
      <c r="D21" s="13">
        <v>2025</v>
      </c>
      <c r="E21" s="13">
        <v>2</v>
      </c>
      <c r="F21" s="13">
        <v>11</v>
      </c>
      <c r="G21" s="14">
        <v>45699</v>
      </c>
      <c r="H21" s="14">
        <f t="shared" si="0"/>
        <v>45788</v>
      </c>
      <c r="I21" s="13">
        <f t="shared" si="1"/>
        <v>3</v>
      </c>
      <c r="J21" s="13" t="str">
        <f t="shared" si="2"/>
        <v>Tuesday</v>
      </c>
      <c r="K21" s="13" t="str">
        <f t="shared" si="3"/>
        <v>Feb 2025</v>
      </c>
      <c r="L21" s="13">
        <f t="shared" si="4"/>
        <v>31</v>
      </c>
      <c r="M21" s="13">
        <f t="shared" si="5"/>
        <v>1</v>
      </c>
    </row>
    <row r="22" spans="1:13" x14ac:dyDescent="0.3">
      <c r="A22" s="5" t="s">
        <v>66</v>
      </c>
      <c r="B22" s="6">
        <v>45458</v>
      </c>
      <c r="C22" s="6">
        <v>45635</v>
      </c>
      <c r="D22" s="13">
        <v>2024</v>
      </c>
      <c r="E22" s="13">
        <v>6</v>
      </c>
      <c r="F22" s="13">
        <v>15</v>
      </c>
      <c r="G22" s="14">
        <v>45458</v>
      </c>
      <c r="H22" s="14">
        <f t="shared" si="0"/>
        <v>45550</v>
      </c>
      <c r="I22" s="13">
        <f t="shared" si="1"/>
        <v>7</v>
      </c>
      <c r="J22" s="13" t="str">
        <f t="shared" si="2"/>
        <v>Saturday</v>
      </c>
      <c r="K22" s="13" t="str">
        <f t="shared" si="3"/>
        <v>Jun 2024</v>
      </c>
      <c r="L22" s="13">
        <f t="shared" si="4"/>
        <v>177</v>
      </c>
      <c r="M22" s="13">
        <f t="shared" si="5"/>
        <v>5</v>
      </c>
    </row>
    <row r="23" spans="1:13" x14ac:dyDescent="0.3">
      <c r="A23" s="5" t="s">
        <v>67</v>
      </c>
      <c r="B23" s="6">
        <v>45318</v>
      </c>
      <c r="C23" s="6">
        <v>45499</v>
      </c>
      <c r="D23" s="13">
        <v>2024</v>
      </c>
      <c r="E23" s="13">
        <v>1</v>
      </c>
      <c r="F23" s="13">
        <v>27</v>
      </c>
      <c r="G23" s="14">
        <v>45318</v>
      </c>
      <c r="H23" s="14">
        <f t="shared" si="0"/>
        <v>45409</v>
      </c>
      <c r="I23" s="13">
        <f t="shared" si="1"/>
        <v>7</v>
      </c>
      <c r="J23" s="13" t="str">
        <f t="shared" si="2"/>
        <v>Saturday</v>
      </c>
      <c r="K23" s="13" t="str">
        <f t="shared" si="3"/>
        <v>Jan 2024</v>
      </c>
      <c r="L23" s="13">
        <f t="shared" si="4"/>
        <v>181</v>
      </c>
      <c r="M23" s="13">
        <f t="shared" si="5"/>
        <v>5</v>
      </c>
    </row>
    <row r="24" spans="1:13" x14ac:dyDescent="0.3">
      <c r="A24" s="5" t="s">
        <v>68</v>
      </c>
      <c r="B24" s="6">
        <v>45417</v>
      </c>
      <c r="C24" s="6">
        <v>45601</v>
      </c>
      <c r="D24" s="13">
        <v>2024</v>
      </c>
      <c r="E24" s="13">
        <v>5</v>
      </c>
      <c r="F24" s="13">
        <v>5</v>
      </c>
      <c r="G24" s="14">
        <v>45417</v>
      </c>
      <c r="H24" s="14">
        <f t="shared" si="0"/>
        <v>45509</v>
      </c>
      <c r="I24" s="13">
        <f t="shared" si="1"/>
        <v>1</v>
      </c>
      <c r="J24" s="13" t="str">
        <f t="shared" si="2"/>
        <v>Sunday</v>
      </c>
      <c r="K24" s="13" t="str">
        <f t="shared" si="3"/>
        <v>May 2024</v>
      </c>
      <c r="L24" s="13">
        <f t="shared" si="4"/>
        <v>184</v>
      </c>
      <c r="M24" s="13">
        <f t="shared" si="5"/>
        <v>6</v>
      </c>
    </row>
    <row r="25" spans="1:13" x14ac:dyDescent="0.3">
      <c r="A25" s="5" t="s">
        <v>69</v>
      </c>
      <c r="B25" s="6">
        <v>45563</v>
      </c>
      <c r="C25" s="6">
        <v>45633</v>
      </c>
      <c r="D25" s="13">
        <v>2024</v>
      </c>
      <c r="E25" s="13">
        <v>9</v>
      </c>
      <c r="F25" s="13">
        <v>28</v>
      </c>
      <c r="G25" s="14">
        <v>45563</v>
      </c>
      <c r="H25" s="14">
        <f t="shared" si="0"/>
        <v>45654</v>
      </c>
      <c r="I25" s="13">
        <f t="shared" si="1"/>
        <v>7</v>
      </c>
      <c r="J25" s="13" t="str">
        <f t="shared" si="2"/>
        <v>Saturday</v>
      </c>
      <c r="K25" s="13" t="str">
        <f t="shared" si="3"/>
        <v>Sep 2024</v>
      </c>
      <c r="L25" s="13">
        <f t="shared" si="4"/>
        <v>70</v>
      </c>
      <c r="M25" s="13">
        <f t="shared" si="5"/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zoomScale="144" workbookViewId="0">
      <pane ySplit="5" topLeftCell="A6" activePane="bottomLeft" state="frozen"/>
      <selection pane="bottomLeft" activeCell="I6" sqref="I6:I25"/>
    </sheetView>
  </sheetViews>
  <sheetFormatPr defaultRowHeight="14.4" x14ac:dyDescent="0.3"/>
  <cols>
    <col min="1" max="1" width="14" customWidth="1"/>
    <col min="2" max="2" width="13" customWidth="1"/>
    <col min="3" max="3" width="12" customWidth="1"/>
    <col min="4" max="5" width="9" customWidth="1"/>
    <col min="6" max="6" width="9.77734375" customWidth="1"/>
    <col min="7" max="8" width="16" customWidth="1"/>
    <col min="9" max="9" width="14" customWidth="1"/>
  </cols>
  <sheetData>
    <row r="1" spans="1:9" ht="17.399999999999999" x14ac:dyDescent="0.3">
      <c r="A1" s="1"/>
    </row>
    <row r="2" spans="1:9" x14ac:dyDescent="0.3">
      <c r="A2" s="11" t="s">
        <v>140</v>
      </c>
    </row>
    <row r="3" spans="1:9" x14ac:dyDescent="0.3">
      <c r="A3" s="11" t="s">
        <v>141</v>
      </c>
    </row>
    <row r="4" spans="1:9" x14ac:dyDescent="0.3">
      <c r="A4" s="11" t="s">
        <v>142</v>
      </c>
    </row>
    <row r="5" spans="1:9" ht="40.049999999999997" customHeight="1" x14ac:dyDescent="0.3">
      <c r="A5" s="4" t="s">
        <v>17</v>
      </c>
      <c r="B5" s="4" t="s">
        <v>29</v>
      </c>
      <c r="C5" s="4" t="s">
        <v>21</v>
      </c>
      <c r="D5" s="12" t="s">
        <v>143</v>
      </c>
      <c r="E5" s="12" t="s">
        <v>144</v>
      </c>
      <c r="F5" s="12" t="s">
        <v>145</v>
      </c>
      <c r="G5" s="12" t="s">
        <v>146</v>
      </c>
      <c r="H5" s="12" t="s">
        <v>147</v>
      </c>
      <c r="I5" s="12" t="s">
        <v>148</v>
      </c>
    </row>
    <row r="6" spans="1:9" x14ac:dyDescent="0.3">
      <c r="A6" s="5" t="s">
        <v>36</v>
      </c>
      <c r="B6" s="6">
        <v>45388</v>
      </c>
      <c r="C6" s="7">
        <v>0.60015046296296293</v>
      </c>
      <c r="D6" s="13">
        <f>HOUR(C6)</f>
        <v>14</v>
      </c>
      <c r="E6" s="13" cm="1">
        <f t="array" ref="E6:E25">MINUTE(C6:C25)</f>
        <v>24</v>
      </c>
      <c r="F6" s="13">
        <f>SECOND(C6)</f>
        <v>13</v>
      </c>
      <c r="G6" s="21" cm="1">
        <f t="array" ref="G6:G25">TIME(D6:D25,_xlfn.ANCHORARRAY(E6),F6:F25)</f>
        <v>0.60015046296296293</v>
      </c>
      <c r="H6" s="13" t="str" cm="1">
        <f t="array" ref="H6:H25">TEXT(C6:C25,"hh:mm AM/PM")</f>
        <v>02:24 PM</v>
      </c>
      <c r="I6" s="13" t="str">
        <f>IF(D6&lt;12,"Morning",IF(D6&lt;18,"Afternoon","Evening"))</f>
        <v>Afternoon</v>
      </c>
    </row>
    <row r="7" spans="1:9" x14ac:dyDescent="0.3">
      <c r="A7" s="5" t="s">
        <v>40</v>
      </c>
      <c r="B7" s="6">
        <v>45726</v>
      </c>
      <c r="C7" s="7">
        <v>0.50320601851851854</v>
      </c>
      <c r="D7" s="13">
        <f t="shared" ref="D7:D25" si="0">HOUR(C7)</f>
        <v>12</v>
      </c>
      <c r="E7" s="13">
        <v>4</v>
      </c>
      <c r="F7" s="13" cm="1">
        <f t="array" ref="F7:F25">SECOND(C7:C25)</f>
        <v>37</v>
      </c>
      <c r="G7" s="21">
        <v>0.50320601851851854</v>
      </c>
      <c r="H7" s="13" t="str">
        <v>12:04 PM</v>
      </c>
      <c r="I7" s="13" t="str">
        <f t="shared" ref="I7:I25" si="1">IF(D7&lt;12,"Morning",IF(D7&lt;18,"Afternoon","Evening"))</f>
        <v>Afternoon</v>
      </c>
    </row>
    <row r="8" spans="1:9" x14ac:dyDescent="0.3">
      <c r="A8" s="5" t="s">
        <v>43</v>
      </c>
      <c r="B8" s="6">
        <v>45518</v>
      </c>
      <c r="C8" s="7">
        <v>0.34012731481481479</v>
      </c>
      <c r="D8" s="13">
        <f t="shared" si="0"/>
        <v>8</v>
      </c>
      <c r="E8" s="13">
        <v>9</v>
      </c>
      <c r="F8" s="13">
        <v>47</v>
      </c>
      <c r="G8" s="21">
        <v>0.34012731481481484</v>
      </c>
      <c r="H8" s="13" t="str">
        <v>08:09 AM</v>
      </c>
      <c r="I8" s="13" t="str">
        <f t="shared" si="1"/>
        <v>Morning</v>
      </c>
    </row>
    <row r="9" spans="1:9" x14ac:dyDescent="0.3">
      <c r="A9" s="5" t="s">
        <v>46</v>
      </c>
      <c r="B9" s="6">
        <v>45477</v>
      </c>
      <c r="C9" s="7">
        <v>0.92804398148148148</v>
      </c>
      <c r="D9" s="13">
        <f t="shared" si="0"/>
        <v>22</v>
      </c>
      <c r="E9" s="13">
        <v>16</v>
      </c>
      <c r="F9" s="13">
        <v>23</v>
      </c>
      <c r="G9" s="21">
        <v>0.92804398148148148</v>
      </c>
      <c r="H9" s="13" t="str">
        <v>10:16 PM</v>
      </c>
      <c r="I9" s="13" t="str">
        <f t="shared" si="1"/>
        <v>Evening</v>
      </c>
    </row>
    <row r="10" spans="1:9" x14ac:dyDescent="0.3">
      <c r="A10" s="5" t="s">
        <v>47</v>
      </c>
      <c r="B10" s="6">
        <v>45729</v>
      </c>
      <c r="C10" s="7">
        <v>0.44365740740740739</v>
      </c>
      <c r="D10" s="13">
        <f t="shared" si="0"/>
        <v>10</v>
      </c>
      <c r="E10" s="13">
        <v>38</v>
      </c>
      <c r="F10" s="13">
        <v>52</v>
      </c>
      <c r="G10" s="21">
        <v>0.44365740740740739</v>
      </c>
      <c r="H10" s="13" t="str">
        <v>10:38 AM</v>
      </c>
      <c r="I10" s="13" t="str">
        <f t="shared" si="1"/>
        <v>Morning</v>
      </c>
    </row>
    <row r="11" spans="1:9" x14ac:dyDescent="0.3">
      <c r="A11" s="5" t="s">
        <v>49</v>
      </c>
      <c r="B11" s="6">
        <v>45541</v>
      </c>
      <c r="C11" s="7">
        <v>0.92912037037037032</v>
      </c>
      <c r="D11" s="13">
        <f t="shared" si="0"/>
        <v>22</v>
      </c>
      <c r="E11" s="13">
        <v>17</v>
      </c>
      <c r="F11" s="13">
        <v>56</v>
      </c>
      <c r="G11" s="21">
        <v>0.92912037037037032</v>
      </c>
      <c r="H11" s="13" t="str">
        <v>10:17 PM</v>
      </c>
      <c r="I11" s="13" t="str">
        <f t="shared" si="1"/>
        <v>Evening</v>
      </c>
    </row>
    <row r="12" spans="1:9" x14ac:dyDescent="0.3">
      <c r="A12" s="5" t="s">
        <v>51</v>
      </c>
      <c r="B12" s="6">
        <v>45412</v>
      </c>
      <c r="C12" s="7">
        <v>0.40651620370370373</v>
      </c>
      <c r="D12" s="13">
        <f t="shared" si="0"/>
        <v>9</v>
      </c>
      <c r="E12" s="13">
        <v>45</v>
      </c>
      <c r="F12" s="13">
        <v>23</v>
      </c>
      <c r="G12" s="21">
        <v>0.40651620370370373</v>
      </c>
      <c r="H12" s="13" t="str">
        <v>09:45 AM</v>
      </c>
      <c r="I12" s="13" t="str">
        <f t="shared" si="1"/>
        <v>Morning</v>
      </c>
    </row>
    <row r="13" spans="1:9" x14ac:dyDescent="0.3">
      <c r="A13" s="5" t="s">
        <v>53</v>
      </c>
      <c r="B13" s="6">
        <v>45371</v>
      </c>
      <c r="C13" s="7">
        <v>0.56385416666666666</v>
      </c>
      <c r="D13" s="13">
        <f t="shared" si="0"/>
        <v>13</v>
      </c>
      <c r="E13" s="13">
        <v>31</v>
      </c>
      <c r="F13" s="13">
        <v>57</v>
      </c>
      <c r="G13" s="21">
        <v>0.56385416666666666</v>
      </c>
      <c r="H13" s="13" t="str">
        <v>01:31 PM</v>
      </c>
      <c r="I13" s="13" t="str">
        <f t="shared" si="1"/>
        <v>Afternoon</v>
      </c>
    </row>
    <row r="14" spans="1:9" x14ac:dyDescent="0.3">
      <c r="A14" s="5" t="s">
        <v>54</v>
      </c>
      <c r="B14" s="6">
        <v>45387</v>
      </c>
      <c r="C14" s="7">
        <v>0.8923726851851852</v>
      </c>
      <c r="D14" s="13">
        <f t="shared" si="0"/>
        <v>21</v>
      </c>
      <c r="E14" s="13">
        <v>25</v>
      </c>
      <c r="F14" s="13">
        <v>1</v>
      </c>
      <c r="G14" s="21">
        <v>0.8923726851851852</v>
      </c>
      <c r="H14" s="13" t="str">
        <v>09:25 PM</v>
      </c>
      <c r="I14" s="13" t="str">
        <f t="shared" si="1"/>
        <v>Evening</v>
      </c>
    </row>
    <row r="15" spans="1:9" x14ac:dyDescent="0.3">
      <c r="A15" s="5" t="s">
        <v>56</v>
      </c>
      <c r="B15" s="6">
        <v>45748</v>
      </c>
      <c r="C15" s="7">
        <v>0.45869212962962957</v>
      </c>
      <c r="D15" s="13">
        <f t="shared" si="0"/>
        <v>11</v>
      </c>
      <c r="E15" s="13">
        <v>0</v>
      </c>
      <c r="F15" s="13">
        <v>31</v>
      </c>
      <c r="G15" s="21">
        <v>0.45869212962962963</v>
      </c>
      <c r="H15" s="13" t="str">
        <v>11:00 AM</v>
      </c>
      <c r="I15" s="13" t="str">
        <f t="shared" si="1"/>
        <v>Morning</v>
      </c>
    </row>
    <row r="16" spans="1:9" x14ac:dyDescent="0.3">
      <c r="A16" s="5" t="s">
        <v>57</v>
      </c>
      <c r="B16" s="6">
        <v>45515</v>
      </c>
      <c r="C16" s="7">
        <v>0.85091435185185182</v>
      </c>
      <c r="D16" s="13">
        <f t="shared" si="0"/>
        <v>20</v>
      </c>
      <c r="E16" s="13">
        <v>25</v>
      </c>
      <c r="F16" s="13">
        <v>19</v>
      </c>
      <c r="G16" s="21">
        <v>0.85091435185185182</v>
      </c>
      <c r="H16" s="13" t="str">
        <v>08:25 PM</v>
      </c>
      <c r="I16" s="13" t="str">
        <f t="shared" si="1"/>
        <v>Evening</v>
      </c>
    </row>
    <row r="17" spans="1:9" x14ac:dyDescent="0.3">
      <c r="A17" s="5" t="s">
        <v>58</v>
      </c>
      <c r="B17" s="6">
        <v>45576</v>
      </c>
      <c r="C17" s="7">
        <v>0.43497685185185192</v>
      </c>
      <c r="D17" s="13">
        <f t="shared" si="0"/>
        <v>10</v>
      </c>
      <c r="E17" s="13">
        <v>26</v>
      </c>
      <c r="F17" s="13">
        <v>22</v>
      </c>
      <c r="G17" s="21">
        <v>0.43497685185185186</v>
      </c>
      <c r="H17" s="13" t="str">
        <v>10:26 AM</v>
      </c>
      <c r="I17" s="13" t="str">
        <f t="shared" si="1"/>
        <v>Morning</v>
      </c>
    </row>
    <row r="18" spans="1:9" x14ac:dyDescent="0.3">
      <c r="A18" s="5" t="s">
        <v>60</v>
      </c>
      <c r="B18" s="6">
        <v>45528</v>
      </c>
      <c r="C18" s="7">
        <v>0.76396990740740744</v>
      </c>
      <c r="D18" s="13">
        <f t="shared" si="0"/>
        <v>18</v>
      </c>
      <c r="E18" s="13">
        <v>20</v>
      </c>
      <c r="F18" s="13">
        <v>7</v>
      </c>
      <c r="G18" s="21">
        <v>0.76396990740740744</v>
      </c>
      <c r="H18" s="13" t="str">
        <v>06:20 PM</v>
      </c>
      <c r="I18" s="13" t="str">
        <f t="shared" si="1"/>
        <v>Evening</v>
      </c>
    </row>
    <row r="19" spans="1:9" x14ac:dyDescent="0.3">
      <c r="A19" s="5" t="s">
        <v>61</v>
      </c>
      <c r="B19" s="6">
        <v>45561</v>
      </c>
      <c r="C19" s="7">
        <v>0.66689814814814818</v>
      </c>
      <c r="D19" s="13">
        <f t="shared" si="0"/>
        <v>16</v>
      </c>
      <c r="E19" s="13">
        <v>0</v>
      </c>
      <c r="F19" s="13">
        <v>20</v>
      </c>
      <c r="G19" s="21">
        <v>0.66689814814814818</v>
      </c>
      <c r="H19" s="13" t="str">
        <v>04:00 PM</v>
      </c>
      <c r="I19" s="13" t="str">
        <f t="shared" si="1"/>
        <v>Afternoon</v>
      </c>
    </row>
    <row r="20" spans="1:9" x14ac:dyDescent="0.3">
      <c r="A20" s="5" t="s">
        <v>62</v>
      </c>
      <c r="B20" s="6">
        <v>45819</v>
      </c>
      <c r="C20" s="7">
        <v>0.70376157407407403</v>
      </c>
      <c r="D20" s="13">
        <f t="shared" si="0"/>
        <v>16</v>
      </c>
      <c r="E20" s="13">
        <v>53</v>
      </c>
      <c r="F20" s="13">
        <v>25</v>
      </c>
      <c r="G20" s="21">
        <v>0.70376157407407403</v>
      </c>
      <c r="H20" s="13" t="str">
        <v>04:53 PM</v>
      </c>
      <c r="I20" s="13" t="str">
        <f t="shared" si="1"/>
        <v>Afternoon</v>
      </c>
    </row>
    <row r="21" spans="1:9" x14ac:dyDescent="0.3">
      <c r="A21" s="5" t="s">
        <v>64</v>
      </c>
      <c r="B21" s="6">
        <v>45699</v>
      </c>
      <c r="C21" s="7">
        <v>0.4161111111111111</v>
      </c>
      <c r="D21" s="13">
        <f t="shared" si="0"/>
        <v>9</v>
      </c>
      <c r="E21" s="13">
        <v>59</v>
      </c>
      <c r="F21" s="13">
        <v>12</v>
      </c>
      <c r="G21" s="21">
        <v>0.4161111111111111</v>
      </c>
      <c r="H21" s="13" t="str">
        <v>09:59 AM</v>
      </c>
      <c r="I21" s="13" t="str">
        <f t="shared" si="1"/>
        <v>Morning</v>
      </c>
    </row>
    <row r="22" spans="1:9" x14ac:dyDescent="0.3">
      <c r="A22" s="5" t="s">
        <v>66</v>
      </c>
      <c r="B22" s="6">
        <v>45458</v>
      </c>
      <c r="C22" s="7">
        <v>0.2901273148148148</v>
      </c>
      <c r="D22" s="13">
        <f t="shared" si="0"/>
        <v>6</v>
      </c>
      <c r="E22" s="13">
        <v>57</v>
      </c>
      <c r="F22" s="13">
        <v>47</v>
      </c>
      <c r="G22" s="21">
        <v>0.2901273148148148</v>
      </c>
      <c r="H22" s="13" t="str">
        <v>06:57 AM</v>
      </c>
      <c r="I22" s="13" t="str">
        <f t="shared" si="1"/>
        <v>Morning</v>
      </c>
    </row>
    <row r="23" spans="1:9" x14ac:dyDescent="0.3">
      <c r="A23" s="5" t="s">
        <v>67</v>
      </c>
      <c r="B23" s="6">
        <v>45318</v>
      </c>
      <c r="C23" s="7">
        <v>0.63637731481481485</v>
      </c>
      <c r="D23" s="13">
        <f t="shared" si="0"/>
        <v>15</v>
      </c>
      <c r="E23" s="13">
        <v>16</v>
      </c>
      <c r="F23" s="13">
        <v>23</v>
      </c>
      <c r="G23" s="21">
        <v>0.63637731481481485</v>
      </c>
      <c r="H23" s="13" t="str">
        <v>03:16 PM</v>
      </c>
      <c r="I23" s="13" t="str">
        <f t="shared" si="1"/>
        <v>Afternoon</v>
      </c>
    </row>
    <row r="24" spans="1:9" x14ac:dyDescent="0.3">
      <c r="A24" s="5" t="s">
        <v>68</v>
      </c>
      <c r="B24" s="6">
        <v>45417</v>
      </c>
      <c r="C24" s="7">
        <v>0.35097222222222219</v>
      </c>
      <c r="D24" s="13">
        <f t="shared" si="0"/>
        <v>8</v>
      </c>
      <c r="E24" s="13">
        <v>25</v>
      </c>
      <c r="F24" s="13">
        <v>24</v>
      </c>
      <c r="G24" s="21">
        <v>0.35097222222222224</v>
      </c>
      <c r="H24" s="13" t="str">
        <v>08:25 AM</v>
      </c>
      <c r="I24" s="13" t="str">
        <f t="shared" si="1"/>
        <v>Morning</v>
      </c>
    </row>
    <row r="25" spans="1:9" x14ac:dyDescent="0.3">
      <c r="A25" s="5" t="s">
        <v>69</v>
      </c>
      <c r="B25" s="6">
        <v>45563</v>
      </c>
      <c r="C25" s="7">
        <v>0.34998842592592588</v>
      </c>
      <c r="D25" s="13">
        <f t="shared" si="0"/>
        <v>8</v>
      </c>
      <c r="E25" s="13">
        <v>23</v>
      </c>
      <c r="F25" s="13">
        <v>59</v>
      </c>
      <c r="G25" s="21">
        <v>0.34998842592592594</v>
      </c>
      <c r="H25" s="13" t="str">
        <v>08:23 AM</v>
      </c>
      <c r="I25" s="13" t="str">
        <f t="shared" si="1"/>
        <v>Morning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>
      <pane ySplit="5" topLeftCell="A6" activePane="bottomLeft" state="frozen"/>
      <selection pane="bottomLeft" activeCell="H6" sqref="H6:H20"/>
    </sheetView>
  </sheetViews>
  <sheetFormatPr defaultRowHeight="14.4" x14ac:dyDescent="0.3"/>
  <cols>
    <col min="1" max="2" width="14" customWidth="1"/>
    <col min="3" max="3" width="16" customWidth="1"/>
    <col min="4" max="5" width="18" customWidth="1"/>
    <col min="6" max="7" width="16" customWidth="1"/>
    <col min="8" max="8" width="20" customWidth="1"/>
  </cols>
  <sheetData>
    <row r="1" spans="1:8" ht="17.399999999999999" x14ac:dyDescent="0.3">
      <c r="A1" s="1" t="s">
        <v>149</v>
      </c>
    </row>
    <row r="2" spans="1:8" x14ac:dyDescent="0.3">
      <c r="A2" s="11" t="s">
        <v>150</v>
      </c>
    </row>
    <row r="3" spans="1:8" x14ac:dyDescent="0.3">
      <c r="A3" s="11" t="s">
        <v>151</v>
      </c>
    </row>
    <row r="4" spans="1:8" x14ac:dyDescent="0.3">
      <c r="A4" s="11" t="s">
        <v>152</v>
      </c>
    </row>
    <row r="5" spans="1:8" ht="45" customHeight="1" x14ac:dyDescent="0.3">
      <c r="A5" s="4" t="s">
        <v>17</v>
      </c>
      <c r="B5" s="4" t="s">
        <v>31</v>
      </c>
      <c r="C5" s="4" t="s">
        <v>32</v>
      </c>
      <c r="D5" s="12" t="s">
        <v>153</v>
      </c>
      <c r="E5" s="12" t="s">
        <v>154</v>
      </c>
      <c r="F5" s="12" t="s">
        <v>155</v>
      </c>
      <c r="G5" s="12" t="s">
        <v>156</v>
      </c>
      <c r="H5" s="12" t="s">
        <v>157</v>
      </c>
    </row>
    <row r="6" spans="1:8" x14ac:dyDescent="0.3">
      <c r="A6" s="5" t="s">
        <v>36</v>
      </c>
      <c r="B6" s="5" t="s">
        <v>37</v>
      </c>
      <c r="C6" s="5" t="s">
        <v>38</v>
      </c>
      <c r="D6" s="13" t="str">
        <f>VLOOKUP(B6,Ref_Tables!$A$3:$C$8,3,FALSE)</f>
        <v>Google</v>
      </c>
      <c r="E6" s="15">
        <f>HLOOKUP(C6,Ref_Tables!$B$12:$E$14,2,FALSE)</f>
        <v>150000</v>
      </c>
      <c r="F6" s="16" cm="1">
        <f t="array" ref="F6:F20">IFERROR(_xlfn.XLOOKUP(A6:A20,Data!A:A,Data!I:I),"Not Found")</f>
        <v>306421.78000000003</v>
      </c>
      <c r="G6" s="14" cm="1">
        <f t="array" ref="G6:G20">IFERROR(_xlfn.XLOOKUP(A6:A20,Data!A:A,Data!B:B),"Not Found")</f>
        <v>45388</v>
      </c>
      <c r="H6" s="13" t="str">
        <f>IF(_xlfn.XLOOKUP(A6,Data!A:A,Data!H:H,"Not found")="Not found","Not found",IF(_xlfn.XLOOKUP(A6,Data!A:A,Data!H:H)&gt;E6,"Yes","No"))</f>
        <v>No</v>
      </c>
    </row>
    <row r="7" spans="1:8" x14ac:dyDescent="0.3">
      <c r="A7" s="5" t="s">
        <v>40</v>
      </c>
      <c r="B7" s="5" t="s">
        <v>41</v>
      </c>
      <c r="C7" s="5" t="s">
        <v>38</v>
      </c>
      <c r="D7" s="13" t="str">
        <f>VLOOKUP(B7,Ref_Tables!$A$3:$C$8,3,FALSE)</f>
        <v>In-house</v>
      </c>
      <c r="E7" s="15">
        <f>HLOOKUP(C7,Ref_Tables!$B$12:$E$14,2,FALSE)</f>
        <v>150000</v>
      </c>
      <c r="F7" s="16">
        <v>171646.23</v>
      </c>
      <c r="G7" s="14">
        <v>45389</v>
      </c>
      <c r="H7" s="13" t="str">
        <f>IF(_xlfn.XLOOKUP(A7,Data!A:A,Data!H:H,"Not found")="Not found","Not found",IF(_xlfn.XLOOKUP(A7,Data!A:A,Data!H:H)&gt;E7,"Yes","No"))</f>
        <v>No</v>
      </c>
    </row>
    <row r="8" spans="1:8" x14ac:dyDescent="0.3">
      <c r="A8" s="5" t="s">
        <v>43</v>
      </c>
      <c r="B8" s="5" t="s">
        <v>41</v>
      </c>
      <c r="C8" s="5" t="s">
        <v>44</v>
      </c>
      <c r="D8" s="13" t="str">
        <f>VLOOKUP(B8,Ref_Tables!$A$3:$C$8,3,FALSE)</f>
        <v>In-house</v>
      </c>
      <c r="E8" s="15">
        <f>HLOOKUP(C8,Ref_Tables!$B$12:$E$14,2,FALSE)</f>
        <v>100000</v>
      </c>
      <c r="F8" s="16">
        <v>1861156.84</v>
      </c>
      <c r="G8" s="14">
        <v>45390</v>
      </c>
      <c r="H8" s="13" t="str">
        <f>IF(_xlfn.XLOOKUP(A8,Data!A:A,Data!H:H,"Not found")="Not found","Not found",IF(_xlfn.XLOOKUP(A8,Data!A:A,Data!H:H)&gt;E8,"Yes","No"))</f>
        <v>No</v>
      </c>
    </row>
    <row r="9" spans="1:8" x14ac:dyDescent="0.3">
      <c r="A9" s="5" t="s">
        <v>46</v>
      </c>
      <c r="B9" s="5" t="s">
        <v>41</v>
      </c>
      <c r="C9" s="5" t="s">
        <v>44</v>
      </c>
      <c r="D9" s="13" t="str">
        <f>VLOOKUP(B9,Ref_Tables!$A$3:$C$8,3,FALSE)</f>
        <v>In-house</v>
      </c>
      <c r="E9" s="15">
        <f>HLOOKUP(C9,Ref_Tables!$B$12:$E$14,2,FALSE)</f>
        <v>100000</v>
      </c>
      <c r="F9" s="16">
        <v>192870.52</v>
      </c>
      <c r="G9" s="14">
        <v>45391</v>
      </c>
      <c r="H9" s="13" t="str">
        <f>IF(_xlfn.XLOOKUP(A9,Data!A:A,Data!H:H,"Not found")="Not found","Not found",IF(_xlfn.XLOOKUP(A9,Data!A:A,Data!H:H)&gt;E9,"Yes","No"))</f>
        <v>No</v>
      </c>
    </row>
    <row r="10" spans="1:8" x14ac:dyDescent="0.3">
      <c r="A10" s="5" t="s">
        <v>47</v>
      </c>
      <c r="B10" s="5" t="s">
        <v>37</v>
      </c>
      <c r="C10" s="5" t="s">
        <v>48</v>
      </c>
      <c r="D10" s="13" t="str">
        <f>VLOOKUP(B10,Ref_Tables!$A$3:$C$8,3,FALSE)</f>
        <v>Google</v>
      </c>
      <c r="E10" s="15">
        <f>HLOOKUP(C10,Ref_Tables!$B$12:$E$14,2,FALSE)</f>
        <v>80000</v>
      </c>
      <c r="F10" s="16">
        <v>729616.78</v>
      </c>
      <c r="G10" s="14">
        <v>45392</v>
      </c>
      <c r="H10" s="13" t="str">
        <f>IF(_xlfn.XLOOKUP(A10,Data!A:A,Data!H:H,"Not found")="Not found","Not found",IF(_xlfn.XLOOKUP(A10,Data!A:A,Data!H:H)&gt;E10,"Yes","No"))</f>
        <v>No</v>
      </c>
    </row>
    <row r="11" spans="1:8" x14ac:dyDescent="0.3">
      <c r="A11" s="5" t="s">
        <v>49</v>
      </c>
      <c r="B11" s="5" t="s">
        <v>41</v>
      </c>
      <c r="C11" s="5" t="s">
        <v>50</v>
      </c>
      <c r="D11" s="13" t="str">
        <f>VLOOKUP(B11,Ref_Tables!$A$3:$C$8,3,FALSE)</f>
        <v>In-house</v>
      </c>
      <c r="E11" s="15">
        <f>HLOOKUP(C11,Ref_Tables!$B$12:$E$14,2,FALSE)</f>
        <v>120000</v>
      </c>
      <c r="F11" s="16">
        <v>830021.67</v>
      </c>
      <c r="G11" s="14">
        <v>45393</v>
      </c>
      <c r="H11" s="13" t="str">
        <f>IF(_xlfn.XLOOKUP(A11,Data!A:A,Data!H:H,"Not found")="Not found","Not found",IF(_xlfn.XLOOKUP(A11,Data!A:A,Data!H:H)&gt;E11,"Yes","No"))</f>
        <v>No</v>
      </c>
    </row>
    <row r="12" spans="1:8" x14ac:dyDescent="0.3">
      <c r="A12" s="5" t="s">
        <v>51</v>
      </c>
      <c r="B12" s="5" t="s">
        <v>52</v>
      </c>
      <c r="C12" s="5" t="s">
        <v>48</v>
      </c>
      <c r="D12" s="13" t="str">
        <f>VLOOKUP(B12,Ref_Tables!$A$3:$C$8,3,FALSE)</f>
        <v>Microsoft</v>
      </c>
      <c r="E12" s="15">
        <f>HLOOKUP(C12,Ref_Tables!$B$12:$E$14,2,FALSE)</f>
        <v>80000</v>
      </c>
      <c r="F12" s="16">
        <v>2911609.38</v>
      </c>
      <c r="G12" s="14">
        <v>45394</v>
      </c>
      <c r="H12" s="13" t="str">
        <f>IF(_xlfn.XLOOKUP(A12,Data!A:A,Data!H:H,"Not found")="Not found","Not found",IF(_xlfn.XLOOKUP(A12,Data!A:A,Data!H:H)&gt;E12,"Yes","No"))</f>
        <v>No</v>
      </c>
    </row>
    <row r="13" spans="1:8" x14ac:dyDescent="0.3">
      <c r="A13" s="5" t="s">
        <v>53</v>
      </c>
      <c r="B13" s="5" t="s">
        <v>52</v>
      </c>
      <c r="C13" s="5" t="s">
        <v>50</v>
      </c>
      <c r="D13" s="13" t="str">
        <f>VLOOKUP(B13,Ref_Tables!$A$3:$C$8,3,FALSE)</f>
        <v>Microsoft</v>
      </c>
      <c r="E13" s="15">
        <f>HLOOKUP(C13,Ref_Tables!$B$12:$E$14,2,FALSE)</f>
        <v>120000</v>
      </c>
      <c r="F13" s="16">
        <v>1617138.34</v>
      </c>
      <c r="G13" s="14">
        <v>45395</v>
      </c>
      <c r="H13" s="13" t="str">
        <f>IF(_xlfn.XLOOKUP(A13,Data!A:A,Data!H:H,"Not found")="Not found","Not found",IF(_xlfn.XLOOKUP(A13,Data!A:A,Data!H:H)&gt;E13,"Yes","No"))</f>
        <v>No</v>
      </c>
    </row>
    <row r="14" spans="1:8" x14ac:dyDescent="0.3">
      <c r="A14" s="5" t="s">
        <v>54</v>
      </c>
      <c r="B14" s="5" t="s">
        <v>37</v>
      </c>
      <c r="C14" s="5" t="s">
        <v>48</v>
      </c>
      <c r="D14" s="13" t="str">
        <f>VLOOKUP(B14,Ref_Tables!$A$3:$C$8,3,FALSE)</f>
        <v>Google</v>
      </c>
      <c r="E14" s="15">
        <f>HLOOKUP(C14,Ref_Tables!$B$12:$E$14,2,FALSE)</f>
        <v>80000</v>
      </c>
      <c r="F14" s="16">
        <v>120578.52</v>
      </c>
      <c r="G14" s="14">
        <v>45396</v>
      </c>
      <c r="H14" s="13" t="str">
        <f>IF(_xlfn.XLOOKUP(A14,Data!A:A,Data!H:H,"Not found")="Not found","Not found",IF(_xlfn.XLOOKUP(A14,Data!A:A,Data!H:H)&gt;E14,"Yes","No"))</f>
        <v>No</v>
      </c>
    </row>
    <row r="15" spans="1:8" x14ac:dyDescent="0.3">
      <c r="A15" s="5" t="s">
        <v>56</v>
      </c>
      <c r="B15" s="5" t="s">
        <v>37</v>
      </c>
      <c r="C15" s="5" t="s">
        <v>48</v>
      </c>
      <c r="D15" s="13" t="str">
        <f>VLOOKUP(B15,Ref_Tables!$A$3:$C$8,3,FALSE)</f>
        <v>Google</v>
      </c>
      <c r="E15" s="15">
        <f>HLOOKUP(C15,Ref_Tables!$B$12:$E$14,2,FALSE)</f>
        <v>80000</v>
      </c>
      <c r="F15" s="16">
        <v>142663.28</v>
      </c>
      <c r="G15" s="14">
        <v>45397</v>
      </c>
      <c r="H15" s="13" t="str">
        <f>IF(_xlfn.XLOOKUP(A15,Data!A:A,Data!H:H,"Not found")="Not found","Not found",IF(_xlfn.XLOOKUP(A15,Data!A:A,Data!H:H)&gt;E15,"Yes","No"))</f>
        <v>No</v>
      </c>
    </row>
    <row r="16" spans="1:8" x14ac:dyDescent="0.3">
      <c r="A16" s="5" t="s">
        <v>57</v>
      </c>
      <c r="B16" s="5" t="s">
        <v>37</v>
      </c>
      <c r="C16" s="5" t="s">
        <v>44</v>
      </c>
      <c r="D16" s="13" t="str">
        <f>VLOOKUP(B16,Ref_Tables!$A$3:$C$8,3,FALSE)</f>
        <v>Google</v>
      </c>
      <c r="E16" s="15">
        <f>HLOOKUP(C16,Ref_Tables!$B$12:$E$14,2,FALSE)</f>
        <v>100000</v>
      </c>
      <c r="F16" s="16">
        <v>756956.86</v>
      </c>
      <c r="G16" s="14">
        <v>45398</v>
      </c>
      <c r="H16" s="13" t="str">
        <f>IF(_xlfn.XLOOKUP(A16,Data!A:A,Data!H:H,"Not found")="Not found","Not found",IF(_xlfn.XLOOKUP(A16,Data!A:A,Data!H:H)&gt;E16,"Yes","No"))</f>
        <v>No</v>
      </c>
    </row>
    <row r="17" spans="1:8" x14ac:dyDescent="0.3">
      <c r="A17" s="5" t="s">
        <v>58</v>
      </c>
      <c r="B17" s="5" t="s">
        <v>59</v>
      </c>
      <c r="C17" s="5" t="s">
        <v>48</v>
      </c>
      <c r="D17" s="13" t="str">
        <f>VLOOKUP(B17,Ref_Tables!$A$3:$C$8,3,FALSE)</f>
        <v>Meta</v>
      </c>
      <c r="E17" s="15">
        <f>HLOOKUP(C17,Ref_Tables!$B$12:$E$14,2,FALSE)</f>
        <v>80000</v>
      </c>
      <c r="F17" s="16">
        <v>1116314.45</v>
      </c>
      <c r="G17" s="14">
        <v>45399</v>
      </c>
      <c r="H17" s="13" t="str">
        <f>IF(_xlfn.XLOOKUP(A17,Data!A:A,Data!H:H,"Not found")="Not found","Not found",IF(_xlfn.XLOOKUP(A17,Data!A:A,Data!H:H)&gt;E17,"Yes","No"))</f>
        <v>No</v>
      </c>
    </row>
    <row r="18" spans="1:8" x14ac:dyDescent="0.3">
      <c r="A18" s="5" t="s">
        <v>158</v>
      </c>
      <c r="B18" s="5" t="s">
        <v>41</v>
      </c>
      <c r="C18" s="5" t="s">
        <v>44</v>
      </c>
      <c r="D18" s="13" t="str">
        <f>VLOOKUP(B18,Ref_Tables!$A$3:$C$8,3,FALSE)</f>
        <v>In-house</v>
      </c>
      <c r="E18" s="15">
        <f>HLOOKUP(C18,Ref_Tables!$B$12:$E$14,2,FALSE)</f>
        <v>100000</v>
      </c>
      <c r="F18" s="16" t="str">
        <v>Not Found</v>
      </c>
      <c r="G18" s="14" t="str">
        <v>Not Found</v>
      </c>
      <c r="H18" s="13" t="str">
        <f>IF(_xlfn.XLOOKUP(A18,Data!A:A,Data!H:H,"Not found")="Not found","Not found",IF(_xlfn.XLOOKUP(A18,Data!A:A,Data!H:H)&gt;E18,"Yes","No"))</f>
        <v>Not found</v>
      </c>
    </row>
    <row r="19" spans="1:8" x14ac:dyDescent="0.3">
      <c r="A19" s="5" t="s">
        <v>159</v>
      </c>
      <c r="B19" s="5" t="s">
        <v>41</v>
      </c>
      <c r="C19" s="5" t="s">
        <v>48</v>
      </c>
      <c r="D19" s="13" t="str">
        <f>VLOOKUP(B19,Ref_Tables!$A$3:$C$8,3,FALSE)</f>
        <v>In-house</v>
      </c>
      <c r="E19" s="15">
        <f>HLOOKUP(C19,Ref_Tables!$B$12:$E$14,2,FALSE)</f>
        <v>80000</v>
      </c>
      <c r="F19" s="16" t="str">
        <v>Not Found</v>
      </c>
      <c r="G19" s="14" t="str">
        <v>Not Found</v>
      </c>
      <c r="H19" s="13" t="str">
        <f>IF(_xlfn.XLOOKUP(A19,Data!A:A,Data!H:H,"Not found")="Not found","Not found",IF(_xlfn.XLOOKUP(A19,Data!A:A,Data!H:H)&gt;E19,"Yes","No"))</f>
        <v>Not found</v>
      </c>
    </row>
    <row r="20" spans="1:8" x14ac:dyDescent="0.3">
      <c r="A20" s="5" t="s">
        <v>160</v>
      </c>
      <c r="B20" s="5" t="s">
        <v>78</v>
      </c>
      <c r="C20" s="5" t="s">
        <v>48</v>
      </c>
      <c r="D20" s="13" t="str">
        <f>VLOOKUP(B20,Ref_Tables!$A$3:$C$8,3,FALSE)</f>
        <v>ByteDance</v>
      </c>
      <c r="E20" s="15">
        <f>HLOOKUP(C20,Ref_Tables!$B$12:$E$14,2,FALSE)</f>
        <v>80000</v>
      </c>
      <c r="F20" s="16" t="str">
        <v>Not Found</v>
      </c>
      <c r="G20" s="14" t="str">
        <v>Not Found</v>
      </c>
      <c r="H20" s="13" t="str">
        <f>IF(_xlfn.XLOOKUP(A20,Data!A:A,Data!H:H,"Not found")="Not found","Not found",IF(_xlfn.XLOOKUP(A20,Data!A:A,Data!H:H)&gt;E20,"Yes","No"))</f>
        <v>Not found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66"/>
  <sheetViews>
    <sheetView zoomScale="130" workbookViewId="0">
      <selection activeCell="G13" sqref="G13"/>
    </sheetView>
  </sheetViews>
  <sheetFormatPr defaultRowHeight="14.4" x14ac:dyDescent="0.3"/>
  <cols>
    <col min="1" max="1" width="3" customWidth="1"/>
    <col min="2" max="2" width="16" customWidth="1"/>
    <col min="3" max="3" width="3" customWidth="1"/>
    <col min="4" max="4" width="18" customWidth="1"/>
    <col min="5" max="5" width="3" customWidth="1"/>
    <col min="6" max="15" width="14" customWidth="1"/>
    <col min="16" max="16" width="9.21875" bestFit="1" customWidth="1"/>
    <col min="17" max="26" width="14" customWidth="1"/>
    <col min="27" max="27" width="3" customWidth="1"/>
    <col min="28" max="37" width="14" customWidth="1"/>
  </cols>
  <sheetData>
    <row r="1" spans="1:35" ht="17.399999999999999" x14ac:dyDescent="0.3">
      <c r="A1" s="1" t="s">
        <v>161</v>
      </c>
    </row>
    <row r="2" spans="1:35" x14ac:dyDescent="0.3">
      <c r="A2" s="20" t="s">
        <v>181</v>
      </c>
    </row>
    <row r="3" spans="1:35" x14ac:dyDescent="0.3">
      <c r="A3" s="20" t="s">
        <v>182</v>
      </c>
    </row>
    <row r="4" spans="1:35" x14ac:dyDescent="0.3">
      <c r="A4" s="20" t="s">
        <v>186</v>
      </c>
    </row>
    <row r="5" spans="1:35" ht="34.950000000000003" customHeight="1" x14ac:dyDescent="0.3">
      <c r="B5" s="12" t="s">
        <v>162</v>
      </c>
      <c r="D5" s="12" t="s">
        <v>163</v>
      </c>
      <c r="F5" s="12" t="s">
        <v>164</v>
      </c>
      <c r="P5" s="12" t="s">
        <v>165</v>
      </c>
      <c r="Z5" s="12" t="s">
        <v>166</v>
      </c>
    </row>
    <row r="6" spans="1:35" x14ac:dyDescent="0.3">
      <c r="B6" s="13" t="str" cm="1">
        <f t="array" ref="B6:B13">_xlfn.UNIQUE(Data!E:E)</f>
        <v>channel</v>
      </c>
      <c r="D6" s="13" t="str" cm="1">
        <f t="array" ref="D6:D11">_xlfn._xlws.SORT(_xlfn.UNIQUE(Data!F:F))</f>
        <v>Awareness</v>
      </c>
      <c r="F6" s="13" t="str" cm="1">
        <f t="array" ref="F6:O66">_xlfn._xlws.SORT(Data!A1:J61,9,-1)</f>
        <v>campaign_id</v>
      </c>
      <c r="G6" t="str">
        <v>launch_date</v>
      </c>
      <c r="H6" t="str">
        <v>launch_time</v>
      </c>
      <c r="I6" t="str">
        <v>end_date</v>
      </c>
      <c r="J6" t="str">
        <v>channel</v>
      </c>
      <c r="K6" t="str">
        <v>campaign_type</v>
      </c>
      <c r="L6" t="str">
        <v>target_audience</v>
      </c>
      <c r="M6" t="str">
        <v>spend_egp</v>
      </c>
      <c r="N6" t="str">
        <v>revenue_egp</v>
      </c>
      <c r="O6" t="str">
        <v>conversions</v>
      </c>
      <c r="P6" s="13" t="str" cm="1">
        <f t="array" ref="P6:Y15">_xlfn._xlws.FILTER(Data!A1:J61,Data!E1:E61="Email","Not Found")</f>
        <v>CMP0002</v>
      </c>
      <c r="Q6">
        <v>45389</v>
      </c>
      <c r="R6">
        <v>0.50320601851851854</v>
      </c>
      <c r="S6">
        <v>45810</v>
      </c>
      <c r="T6" t="str">
        <v>Email</v>
      </c>
      <c r="U6" t="str">
        <v>Awareness</v>
      </c>
      <c r="V6" t="str">
        <v>25-34</v>
      </c>
      <c r="W6">
        <v>4470.93</v>
      </c>
      <c r="X6">
        <v>171646.23</v>
      </c>
      <c r="Y6">
        <v>68</v>
      </c>
      <c r="Z6" s="13" t="str" cm="1">
        <f t="array" ref="Z6:AI8">_xlfn._xlws.SORT(_xlfn._xlws.FILTER(Data!A2:J61,(Data!I2:I61&gt;1000000)*(Data!G2:G61="All"),"No Result"),8,1)</f>
        <v>CMP0022</v>
      </c>
      <c r="AA6">
        <v>45569</v>
      </c>
      <c r="AB6">
        <v>0.30354166666666671</v>
      </c>
      <c r="AC6">
        <v>45979</v>
      </c>
      <c r="AD6" t="str">
        <v>Google Ads</v>
      </c>
      <c r="AE6" t="str">
        <v>Lead Gen</v>
      </c>
      <c r="AF6" t="str">
        <v>All</v>
      </c>
      <c r="AG6">
        <v>38709.480000000003</v>
      </c>
      <c r="AH6">
        <v>1895735.16</v>
      </c>
      <c r="AI6">
        <v>1195</v>
      </c>
    </row>
    <row r="7" spans="1:35" x14ac:dyDescent="0.3">
      <c r="B7" t="str">
        <v>Google Ads</v>
      </c>
      <c r="D7" t="str">
        <v>campaign_type</v>
      </c>
      <c r="F7" t="str">
        <v>CMP0023</v>
      </c>
      <c r="G7">
        <v>45570</v>
      </c>
      <c r="H7">
        <v>0.32895833333333341</v>
      </c>
      <c r="I7">
        <v>45581</v>
      </c>
      <c r="J7" t="str">
        <v>Facebook</v>
      </c>
      <c r="K7" t="str">
        <v>Retargeting</v>
      </c>
      <c r="L7" t="str">
        <v>35-44</v>
      </c>
      <c r="M7">
        <v>132350.64000000001</v>
      </c>
      <c r="N7">
        <v>5858333.4699999997</v>
      </c>
      <c r="O7">
        <v>3186</v>
      </c>
      <c r="P7" t="str">
        <v>CMP0003</v>
      </c>
      <c r="Q7">
        <v>45390</v>
      </c>
      <c r="R7">
        <v>0.34012731481481479</v>
      </c>
      <c r="S7">
        <v>45557</v>
      </c>
      <c r="T7" t="str">
        <v>Email</v>
      </c>
      <c r="U7" t="str">
        <v>Lead Gen</v>
      </c>
      <c r="V7" t="str">
        <v>35-44</v>
      </c>
      <c r="W7">
        <v>71528.94</v>
      </c>
      <c r="X7">
        <v>1861156.84</v>
      </c>
      <c r="Y7">
        <v>2069</v>
      </c>
      <c r="Z7" t="str">
        <v>CMP0035</v>
      </c>
      <c r="AA7">
        <v>45582</v>
      </c>
      <c r="AB7">
        <v>0.96400462962962963</v>
      </c>
      <c r="AC7">
        <v>45719</v>
      </c>
      <c r="AD7" t="str">
        <v>Instagram</v>
      </c>
      <c r="AE7" t="str">
        <v>Retargeting</v>
      </c>
      <c r="AF7" t="str">
        <v>All</v>
      </c>
      <c r="AG7">
        <v>55938.94</v>
      </c>
      <c r="AH7">
        <v>3164903.05</v>
      </c>
      <c r="AI7">
        <v>2305</v>
      </c>
    </row>
    <row r="8" spans="1:35" x14ac:dyDescent="0.3">
      <c r="B8" t="str">
        <v>Email</v>
      </c>
      <c r="D8" t="str">
        <v>Lead Gen</v>
      </c>
      <c r="F8" t="str">
        <v>CMP0050</v>
      </c>
      <c r="G8">
        <v>45597</v>
      </c>
      <c r="H8">
        <v>0.55782407407407408</v>
      </c>
      <c r="I8">
        <v>45507</v>
      </c>
      <c r="J8" t="str">
        <v>Facebook</v>
      </c>
      <c r="K8" t="str">
        <v>Awareness</v>
      </c>
      <c r="L8" t="str">
        <v>18-24</v>
      </c>
      <c r="M8">
        <v>124900.71</v>
      </c>
      <c r="N8">
        <v>4757308.97</v>
      </c>
      <c r="O8">
        <v>800</v>
      </c>
      <c r="P8" t="str">
        <v>CMP0004</v>
      </c>
      <c r="Q8">
        <v>45391</v>
      </c>
      <c r="R8">
        <v>0.92804398148148148</v>
      </c>
      <c r="S8">
        <v>45564</v>
      </c>
      <c r="T8" t="str">
        <v>Email</v>
      </c>
      <c r="U8" t="str">
        <v>Lead Gen</v>
      </c>
      <c r="V8" t="str">
        <v>35-44</v>
      </c>
      <c r="W8">
        <v>26788.73</v>
      </c>
      <c r="X8">
        <v>192870.52</v>
      </c>
      <c r="Y8">
        <v>311</v>
      </c>
      <c r="Z8" t="str">
        <v>CMP0012</v>
      </c>
      <c r="AA8">
        <v>45399</v>
      </c>
      <c r="AB8">
        <v>0.43497685185185192</v>
      </c>
      <c r="AC8">
        <v>45615</v>
      </c>
      <c r="AD8" t="str">
        <v>Facebook</v>
      </c>
      <c r="AE8" t="str">
        <v>Retargeting</v>
      </c>
      <c r="AF8" t="str">
        <v>All</v>
      </c>
      <c r="AG8">
        <v>62757.9</v>
      </c>
      <c r="AH8">
        <v>1116314.45</v>
      </c>
      <c r="AI8">
        <v>789</v>
      </c>
    </row>
    <row r="9" spans="1:35" x14ac:dyDescent="0.3">
      <c r="B9" t="str">
        <v>LinkedIn</v>
      </c>
      <c r="D9" t="str">
        <v>Promotion</v>
      </c>
      <c r="F9" t="str">
        <v>CMP0049</v>
      </c>
      <c r="G9">
        <v>45596</v>
      </c>
      <c r="H9">
        <v>0.96203703703703702</v>
      </c>
      <c r="I9">
        <v>45562</v>
      </c>
      <c r="J9" t="str">
        <v>Facebook</v>
      </c>
      <c r="K9" t="str">
        <v>Promotion</v>
      </c>
      <c r="L9" t="str">
        <v>25-34</v>
      </c>
      <c r="M9">
        <v>69538.48</v>
      </c>
      <c r="N9">
        <v>3490050.28</v>
      </c>
      <c r="O9">
        <v>1307</v>
      </c>
      <c r="P9" t="str">
        <v>CMP0006</v>
      </c>
      <c r="Q9">
        <v>45393</v>
      </c>
      <c r="R9">
        <v>0.92912037037037032</v>
      </c>
      <c r="S9">
        <v>45613</v>
      </c>
      <c r="T9" t="str">
        <v>Email</v>
      </c>
      <c r="U9" t="str">
        <v>Promotion</v>
      </c>
      <c r="V9" t="str">
        <v>All</v>
      </c>
      <c r="W9">
        <v>27245.71</v>
      </c>
      <c r="X9">
        <v>830021.67</v>
      </c>
      <c r="Y9">
        <v>722</v>
      </c>
    </row>
    <row r="10" spans="1:35" x14ac:dyDescent="0.3">
      <c r="B10" t="str">
        <v>Facebook</v>
      </c>
      <c r="D10" t="str">
        <v>Retargeting</v>
      </c>
      <c r="F10" t="str">
        <v>CMP0016</v>
      </c>
      <c r="G10">
        <v>45563</v>
      </c>
      <c r="H10">
        <v>0.4161111111111111</v>
      </c>
      <c r="I10">
        <v>45730</v>
      </c>
      <c r="J10" t="str">
        <v>Instagram</v>
      </c>
      <c r="K10" t="str">
        <v>Retargeting</v>
      </c>
      <c r="L10" t="str">
        <v>18-24</v>
      </c>
      <c r="M10">
        <v>115625.38</v>
      </c>
      <c r="N10">
        <v>3430499.21</v>
      </c>
      <c r="O10">
        <v>3122</v>
      </c>
      <c r="P10" t="str">
        <v>CMP0017</v>
      </c>
      <c r="Q10">
        <v>45564</v>
      </c>
      <c r="R10">
        <v>0.2901273148148148</v>
      </c>
      <c r="S10">
        <v>45635</v>
      </c>
      <c r="T10" t="str">
        <v>Email</v>
      </c>
      <c r="U10" t="str">
        <v>Promotion</v>
      </c>
      <c r="V10" t="str">
        <v>All</v>
      </c>
      <c r="W10">
        <v>7703.73</v>
      </c>
      <c r="X10">
        <v>35249.75</v>
      </c>
      <c r="Y10">
        <v>90</v>
      </c>
    </row>
    <row r="11" spans="1:35" x14ac:dyDescent="0.3">
      <c r="B11" t="str">
        <v>Instagram</v>
      </c>
      <c r="D11">
        <v>0</v>
      </c>
      <c r="F11" t="str">
        <v>CMP0035</v>
      </c>
      <c r="G11">
        <v>45582</v>
      </c>
      <c r="H11">
        <v>0.96400462962962963</v>
      </c>
      <c r="I11">
        <v>45719</v>
      </c>
      <c r="J11" t="str">
        <v>Instagram</v>
      </c>
      <c r="K11" t="str">
        <v>Retargeting</v>
      </c>
      <c r="L11" t="str">
        <v>All</v>
      </c>
      <c r="M11">
        <v>55938.94</v>
      </c>
      <c r="N11">
        <v>3164903.05</v>
      </c>
      <c r="O11">
        <v>2305</v>
      </c>
      <c r="P11" t="str">
        <v>CMP0018</v>
      </c>
      <c r="Q11">
        <v>45565</v>
      </c>
      <c r="R11">
        <v>0.63637731481481485</v>
      </c>
      <c r="S11">
        <v>45499</v>
      </c>
      <c r="T11" t="str">
        <v>Email</v>
      </c>
      <c r="U11" t="str">
        <v>Lead Gen</v>
      </c>
      <c r="V11" t="str">
        <v>All</v>
      </c>
      <c r="W11">
        <v>5106.6899999999996</v>
      </c>
      <c r="X11">
        <v>120055.31</v>
      </c>
      <c r="Y11">
        <v>79</v>
      </c>
    </row>
    <row r="12" spans="1:35" x14ac:dyDescent="0.3">
      <c r="B12" t="str">
        <v>TikTok</v>
      </c>
      <c r="F12" t="str">
        <v>CMP0007</v>
      </c>
      <c r="G12">
        <v>45394</v>
      </c>
      <c r="H12">
        <v>0.40651620370370373</v>
      </c>
      <c r="I12">
        <v>45491</v>
      </c>
      <c r="J12" t="str">
        <v>LinkedIn</v>
      </c>
      <c r="K12" t="str">
        <v>Retargeting</v>
      </c>
      <c r="L12" t="str">
        <v>25-34</v>
      </c>
      <c r="M12">
        <v>63582.33</v>
      </c>
      <c r="N12">
        <v>2911609.38</v>
      </c>
      <c r="O12">
        <v>617</v>
      </c>
      <c r="P12" t="str">
        <v>CMP0019</v>
      </c>
      <c r="Q12">
        <v>45566</v>
      </c>
      <c r="R12">
        <v>0.35097222222222219</v>
      </c>
      <c r="S12">
        <v>45601</v>
      </c>
      <c r="T12" t="str">
        <v>Email</v>
      </c>
      <c r="U12" t="str">
        <v>Retargeting</v>
      </c>
      <c r="V12" t="str">
        <v>45+</v>
      </c>
      <c r="W12">
        <v>27818.61</v>
      </c>
      <c r="X12">
        <v>823517.47</v>
      </c>
      <c r="Y12">
        <v>577</v>
      </c>
    </row>
    <row r="13" spans="1:35" x14ac:dyDescent="0.3">
      <c r="B13">
        <v>0</v>
      </c>
      <c r="F13" t="str">
        <v>CMP0028</v>
      </c>
      <c r="G13">
        <v>45575</v>
      </c>
      <c r="H13">
        <v>0.83056712962962964</v>
      </c>
      <c r="I13">
        <v>45874</v>
      </c>
      <c r="J13" t="str">
        <v>TikTok</v>
      </c>
      <c r="K13" t="str">
        <v>Promotion</v>
      </c>
      <c r="L13" t="str">
        <v>25-34</v>
      </c>
      <c r="M13">
        <v>79718</v>
      </c>
      <c r="N13">
        <v>2678254.7599999998</v>
      </c>
      <c r="O13">
        <v>1973</v>
      </c>
      <c r="P13" t="str">
        <v>CMP0041</v>
      </c>
      <c r="Q13">
        <v>45588</v>
      </c>
      <c r="R13">
        <v>0.38241898148148151</v>
      </c>
      <c r="S13">
        <v>45549</v>
      </c>
      <c r="T13" t="str">
        <v>Email</v>
      </c>
      <c r="U13" t="str">
        <v>Lead Gen</v>
      </c>
      <c r="V13" t="str">
        <v>18-24</v>
      </c>
      <c r="W13">
        <v>25190.29</v>
      </c>
      <c r="X13">
        <v>161660.81</v>
      </c>
      <c r="Y13">
        <v>669</v>
      </c>
    </row>
    <row r="14" spans="1:35" x14ac:dyDescent="0.3">
      <c r="F14" t="str">
        <v>CMP0048</v>
      </c>
      <c r="G14">
        <v>45595</v>
      </c>
      <c r="H14">
        <v>0.34121527777777783</v>
      </c>
      <c r="I14">
        <v>45682</v>
      </c>
      <c r="J14" t="str">
        <v>Instagram</v>
      </c>
      <c r="K14" t="str">
        <v>Awareness</v>
      </c>
      <c r="L14" t="str">
        <v>45+</v>
      </c>
      <c r="M14">
        <v>62207.27</v>
      </c>
      <c r="N14">
        <v>2482431.02</v>
      </c>
      <c r="O14">
        <v>2399</v>
      </c>
      <c r="P14" t="str">
        <v>CMP0047</v>
      </c>
      <c r="Q14">
        <v>45594</v>
      </c>
      <c r="R14">
        <v>0.96684027777777781</v>
      </c>
      <c r="S14">
        <v>45786</v>
      </c>
      <c r="T14" t="str">
        <v>Email</v>
      </c>
      <c r="U14" t="str">
        <v>Promotion</v>
      </c>
      <c r="V14" t="str">
        <v>18-24</v>
      </c>
      <c r="W14">
        <v>8063.43</v>
      </c>
      <c r="X14">
        <v>19334.07</v>
      </c>
      <c r="Y14">
        <v>297</v>
      </c>
    </row>
    <row r="15" spans="1:35" x14ac:dyDescent="0.3">
      <c r="F15" t="str">
        <v>CMP0022</v>
      </c>
      <c r="G15">
        <v>45569</v>
      </c>
      <c r="H15">
        <v>0.30354166666666671</v>
      </c>
      <c r="I15">
        <v>45979</v>
      </c>
      <c r="J15" t="str">
        <v>Google Ads</v>
      </c>
      <c r="K15" t="str">
        <v>Lead Gen</v>
      </c>
      <c r="L15" t="str">
        <v>All</v>
      </c>
      <c r="M15">
        <v>38709.480000000003</v>
      </c>
      <c r="N15">
        <v>1895735.16</v>
      </c>
      <c r="O15">
        <v>1195</v>
      </c>
      <c r="P15" t="str">
        <v>CMP0054</v>
      </c>
      <c r="Q15">
        <v>45601</v>
      </c>
      <c r="R15">
        <v>0.59847222222222218</v>
      </c>
      <c r="S15">
        <v>45949</v>
      </c>
      <c r="T15" t="str">
        <v>Email</v>
      </c>
      <c r="U15" t="str">
        <v>Awareness</v>
      </c>
      <c r="V15" t="str">
        <v>35-44</v>
      </c>
      <c r="W15">
        <v>5917.25</v>
      </c>
      <c r="X15">
        <v>291703.21000000002</v>
      </c>
      <c r="Y15">
        <v>210</v>
      </c>
    </row>
    <row r="16" spans="1:35" x14ac:dyDescent="0.3">
      <c r="F16" t="str">
        <v>CMP0003</v>
      </c>
      <c r="G16">
        <v>45390</v>
      </c>
      <c r="H16">
        <v>0.34012731481481479</v>
      </c>
      <c r="I16">
        <v>45557</v>
      </c>
      <c r="J16" t="str">
        <v>Email</v>
      </c>
      <c r="K16" t="str">
        <v>Lead Gen</v>
      </c>
      <c r="L16" t="str">
        <v>35-44</v>
      </c>
      <c r="M16">
        <v>71528.94</v>
      </c>
      <c r="N16">
        <v>1861156.84</v>
      </c>
      <c r="O16">
        <v>2069</v>
      </c>
    </row>
    <row r="17" spans="6:15" x14ac:dyDescent="0.3">
      <c r="F17" t="str">
        <v>CMP0056</v>
      </c>
      <c r="G17">
        <v>45603</v>
      </c>
      <c r="H17">
        <v>0.71438657407407402</v>
      </c>
      <c r="I17">
        <v>45784</v>
      </c>
      <c r="J17" t="str">
        <v>Google Ads</v>
      </c>
      <c r="K17" t="str">
        <v>Retargeting</v>
      </c>
      <c r="L17" t="str">
        <v>25-34</v>
      </c>
      <c r="M17">
        <v>100431.45</v>
      </c>
      <c r="N17">
        <v>1820252.73</v>
      </c>
      <c r="O17">
        <v>731</v>
      </c>
    </row>
    <row r="18" spans="6:15" x14ac:dyDescent="0.3">
      <c r="F18" t="str">
        <v>CMP0021</v>
      </c>
      <c r="G18">
        <v>45568</v>
      </c>
      <c r="H18">
        <v>0.82519675925925928</v>
      </c>
      <c r="I18">
        <v>45871</v>
      </c>
      <c r="J18" t="str">
        <v>Google Ads</v>
      </c>
      <c r="K18" t="str">
        <v>Awareness</v>
      </c>
      <c r="L18" t="str">
        <v>35-44</v>
      </c>
      <c r="M18">
        <v>52852.57</v>
      </c>
      <c r="N18">
        <v>1682097.32</v>
      </c>
      <c r="O18">
        <v>1032</v>
      </c>
    </row>
    <row r="19" spans="6:15" x14ac:dyDescent="0.3">
      <c r="F19" t="str">
        <v>CMP0008</v>
      </c>
      <c r="G19">
        <v>45395</v>
      </c>
      <c r="H19">
        <v>0.56385416666666666</v>
      </c>
      <c r="I19">
        <v>45557</v>
      </c>
      <c r="J19" t="str">
        <v>LinkedIn</v>
      </c>
      <c r="K19" t="str">
        <v>Promotion</v>
      </c>
      <c r="L19" t="str">
        <v>35-44</v>
      </c>
      <c r="M19">
        <v>38343.730000000003</v>
      </c>
      <c r="N19">
        <v>1617138.34</v>
      </c>
      <c r="O19">
        <v>492</v>
      </c>
    </row>
    <row r="20" spans="6:15" x14ac:dyDescent="0.3">
      <c r="F20" t="str">
        <v>CMP0037</v>
      </c>
      <c r="G20">
        <v>45584</v>
      </c>
      <c r="H20">
        <v>0.63837962962962957</v>
      </c>
      <c r="I20">
        <v>45701</v>
      </c>
      <c r="J20" t="str">
        <v>TikTok</v>
      </c>
      <c r="K20" t="str">
        <v>Promotion</v>
      </c>
      <c r="L20" t="str">
        <v>18-24</v>
      </c>
      <c r="M20">
        <v>24990.080000000002</v>
      </c>
      <c r="N20">
        <v>1348865.72</v>
      </c>
      <c r="O20">
        <v>781</v>
      </c>
    </row>
    <row r="21" spans="6:15" x14ac:dyDescent="0.3">
      <c r="F21" t="str">
        <v>CMP0043</v>
      </c>
      <c r="G21">
        <v>45590</v>
      </c>
      <c r="H21">
        <v>0.9568402777777778</v>
      </c>
      <c r="I21">
        <v>45444</v>
      </c>
      <c r="J21" t="str">
        <v>TikTok</v>
      </c>
      <c r="K21" t="str">
        <v>Lead Gen</v>
      </c>
      <c r="L21" t="str">
        <v>45+</v>
      </c>
      <c r="M21">
        <v>24396.78</v>
      </c>
      <c r="N21">
        <v>1314356.6399999999</v>
      </c>
      <c r="O21">
        <v>1424</v>
      </c>
    </row>
    <row r="22" spans="6:15" x14ac:dyDescent="0.3">
      <c r="F22" t="str">
        <v>CMP0033</v>
      </c>
      <c r="G22">
        <v>45580</v>
      </c>
      <c r="H22">
        <v>0.44577546296296289</v>
      </c>
      <c r="I22">
        <v>45965</v>
      </c>
      <c r="J22" t="str">
        <v>LinkedIn</v>
      </c>
      <c r="K22" t="str">
        <v>Retargeting</v>
      </c>
      <c r="L22" t="str">
        <v>18-24</v>
      </c>
      <c r="M22">
        <v>22483.31</v>
      </c>
      <c r="N22">
        <v>1195411.22</v>
      </c>
      <c r="O22">
        <v>450</v>
      </c>
    </row>
    <row r="23" spans="6:15" x14ac:dyDescent="0.3">
      <c r="F23" t="str">
        <v>CMP0012</v>
      </c>
      <c r="G23">
        <v>45399</v>
      </c>
      <c r="H23">
        <v>0.43497685185185192</v>
      </c>
      <c r="I23">
        <v>45615</v>
      </c>
      <c r="J23" t="str">
        <v>Facebook</v>
      </c>
      <c r="K23" t="str">
        <v>Retargeting</v>
      </c>
      <c r="L23" t="str">
        <v>All</v>
      </c>
      <c r="M23">
        <v>62757.9</v>
      </c>
      <c r="N23">
        <v>1116314.45</v>
      </c>
      <c r="O23">
        <v>789</v>
      </c>
    </row>
    <row r="24" spans="6:15" x14ac:dyDescent="0.3">
      <c r="F24" t="str">
        <v>CMP0015</v>
      </c>
      <c r="G24">
        <v>45562</v>
      </c>
      <c r="H24">
        <v>0.70376157407407403</v>
      </c>
      <c r="I24">
        <v>45912</v>
      </c>
      <c r="J24" t="str">
        <v>LinkedIn</v>
      </c>
      <c r="K24" t="str">
        <v>Awareness</v>
      </c>
      <c r="L24" t="str">
        <v>45+</v>
      </c>
      <c r="M24">
        <v>20545.95</v>
      </c>
      <c r="N24">
        <v>1112001.8999999999</v>
      </c>
      <c r="O24">
        <v>611</v>
      </c>
    </row>
    <row r="25" spans="6:15" x14ac:dyDescent="0.3">
      <c r="F25" t="str">
        <v>CMP0040</v>
      </c>
      <c r="G25">
        <v>45587</v>
      </c>
      <c r="H25">
        <v>0.9877893518518519</v>
      </c>
      <c r="I25">
        <v>45386</v>
      </c>
      <c r="J25" t="str">
        <v>Google Ads</v>
      </c>
      <c r="K25" t="str">
        <v>Retargeting</v>
      </c>
      <c r="L25" t="str">
        <v>45+</v>
      </c>
      <c r="M25">
        <v>24874.07</v>
      </c>
      <c r="N25">
        <v>1060489.94</v>
      </c>
      <c r="O25">
        <v>321</v>
      </c>
    </row>
    <row r="26" spans="6:15" x14ac:dyDescent="0.3">
      <c r="F26" t="str">
        <v>CMP0053</v>
      </c>
      <c r="G26">
        <v>45600</v>
      </c>
      <c r="H26">
        <v>0.9259722222222222</v>
      </c>
      <c r="I26">
        <v>45556</v>
      </c>
      <c r="J26" t="str">
        <v>Google Ads</v>
      </c>
      <c r="K26" t="str">
        <v>Lead Gen</v>
      </c>
      <c r="L26" t="str">
        <v>18-24</v>
      </c>
      <c r="M26">
        <v>49368.04</v>
      </c>
      <c r="N26">
        <v>1042503.31</v>
      </c>
      <c r="O26">
        <v>220</v>
      </c>
    </row>
    <row r="27" spans="6:15" x14ac:dyDescent="0.3">
      <c r="F27" t="str">
        <v>CMP0038</v>
      </c>
      <c r="G27">
        <v>45585</v>
      </c>
      <c r="H27">
        <v>0.60116898148148146</v>
      </c>
      <c r="I27">
        <v>45596</v>
      </c>
      <c r="J27" t="str">
        <v>Facebook</v>
      </c>
      <c r="K27" t="str">
        <v>Retargeting</v>
      </c>
      <c r="L27" t="str">
        <v>25-34</v>
      </c>
      <c r="M27">
        <v>21093.57</v>
      </c>
      <c r="N27">
        <v>953026.53</v>
      </c>
      <c r="O27">
        <v>694</v>
      </c>
    </row>
    <row r="28" spans="6:15" x14ac:dyDescent="0.3">
      <c r="F28" t="str">
        <v>CMP0014</v>
      </c>
      <c r="G28">
        <v>45561</v>
      </c>
      <c r="H28">
        <v>0.66689814814814818</v>
      </c>
      <c r="I28">
        <v>45756</v>
      </c>
      <c r="J28" t="str">
        <v>Google Ads</v>
      </c>
      <c r="K28" t="str">
        <v>Awareness</v>
      </c>
      <c r="L28" t="str">
        <v>25-34</v>
      </c>
      <c r="M28">
        <v>36388.15</v>
      </c>
      <c r="N28">
        <v>946396.48</v>
      </c>
      <c r="O28">
        <v>727</v>
      </c>
    </row>
    <row r="29" spans="6:15" x14ac:dyDescent="0.3">
      <c r="F29" t="str">
        <v>CMP0044</v>
      </c>
      <c r="G29">
        <v>45591</v>
      </c>
      <c r="H29">
        <v>0.89946759259259257</v>
      </c>
      <c r="I29">
        <v>45529</v>
      </c>
      <c r="J29" t="str">
        <v>LinkedIn</v>
      </c>
      <c r="K29" t="str">
        <v>Lead Gen</v>
      </c>
      <c r="L29" t="str">
        <v>18-24</v>
      </c>
      <c r="M29">
        <v>54510.52</v>
      </c>
      <c r="N29">
        <v>925064.42</v>
      </c>
      <c r="O29">
        <v>1093</v>
      </c>
    </row>
    <row r="30" spans="6:15" x14ac:dyDescent="0.3">
      <c r="F30" t="str">
        <v>CMP0057</v>
      </c>
      <c r="G30">
        <v>45604</v>
      </c>
      <c r="H30">
        <v>0.94004629629629632</v>
      </c>
      <c r="I30">
        <v>45954</v>
      </c>
      <c r="J30" t="str">
        <v>TikTok</v>
      </c>
      <c r="K30" t="str">
        <v>Retargeting</v>
      </c>
      <c r="L30" t="str">
        <v>All</v>
      </c>
      <c r="M30">
        <v>88000.81</v>
      </c>
      <c r="N30">
        <v>849163.39</v>
      </c>
      <c r="O30">
        <v>429</v>
      </c>
    </row>
    <row r="31" spans="6:15" x14ac:dyDescent="0.3">
      <c r="F31" t="str">
        <v>CMP0046</v>
      </c>
      <c r="G31">
        <v>45593</v>
      </c>
      <c r="H31">
        <v>0.85217592592592595</v>
      </c>
      <c r="I31">
        <v>45615</v>
      </c>
      <c r="J31" t="str">
        <v>Facebook</v>
      </c>
      <c r="K31" t="str">
        <v>Promotion</v>
      </c>
      <c r="L31" t="str">
        <v>35-44</v>
      </c>
      <c r="M31">
        <v>25746.02</v>
      </c>
      <c r="N31">
        <v>838509.81</v>
      </c>
      <c r="O31">
        <v>1403</v>
      </c>
    </row>
    <row r="32" spans="6:15" x14ac:dyDescent="0.3">
      <c r="F32" t="str">
        <v>CMP0006</v>
      </c>
      <c r="G32">
        <v>45393</v>
      </c>
      <c r="H32">
        <v>0.92912037037037032</v>
      </c>
      <c r="I32">
        <v>45613</v>
      </c>
      <c r="J32" t="str">
        <v>Email</v>
      </c>
      <c r="K32" t="str">
        <v>Promotion</v>
      </c>
      <c r="L32" t="str">
        <v>All</v>
      </c>
      <c r="M32">
        <v>27245.71</v>
      </c>
      <c r="N32">
        <v>830021.67</v>
      </c>
      <c r="O32">
        <v>722</v>
      </c>
    </row>
    <row r="33" spans="6:15" x14ac:dyDescent="0.3">
      <c r="F33" t="str">
        <v>CMP0019</v>
      </c>
      <c r="G33">
        <v>45566</v>
      </c>
      <c r="H33">
        <v>0.35097222222222219</v>
      </c>
      <c r="I33">
        <v>45601</v>
      </c>
      <c r="J33" t="str">
        <v>Email</v>
      </c>
      <c r="K33" t="str">
        <v>Retargeting</v>
      </c>
      <c r="L33" t="str">
        <v>45+</v>
      </c>
      <c r="M33">
        <v>27818.61</v>
      </c>
      <c r="N33">
        <v>823517.47</v>
      </c>
      <c r="O33">
        <v>577</v>
      </c>
    </row>
    <row r="34" spans="6:15" x14ac:dyDescent="0.3">
      <c r="F34" t="str">
        <v>CMP0027</v>
      </c>
      <c r="G34">
        <v>45574</v>
      </c>
      <c r="H34">
        <v>0.53429398148148144</v>
      </c>
      <c r="I34">
        <v>45651</v>
      </c>
      <c r="J34" t="str">
        <v>Facebook</v>
      </c>
      <c r="K34" t="str">
        <v>Lead Gen</v>
      </c>
      <c r="L34" t="str">
        <v>18-24</v>
      </c>
      <c r="M34">
        <v>77462.61</v>
      </c>
      <c r="N34">
        <v>801142.79</v>
      </c>
      <c r="O34">
        <v>970</v>
      </c>
    </row>
    <row r="35" spans="6:15" x14ac:dyDescent="0.3">
      <c r="F35" t="str">
        <v>CMP0036</v>
      </c>
      <c r="G35">
        <v>45583</v>
      </c>
      <c r="H35">
        <v>0.89329861111111108</v>
      </c>
      <c r="I35">
        <v>45587</v>
      </c>
      <c r="J35" t="str">
        <v>Instagram</v>
      </c>
      <c r="K35" t="str">
        <v>Lead Gen</v>
      </c>
      <c r="L35" t="str">
        <v>45+</v>
      </c>
      <c r="M35">
        <v>90807.94</v>
      </c>
      <c r="N35">
        <v>782299.9</v>
      </c>
      <c r="O35">
        <v>2142</v>
      </c>
    </row>
    <row r="36" spans="6:15" x14ac:dyDescent="0.3">
      <c r="F36" t="str">
        <v>CMP0011</v>
      </c>
      <c r="G36">
        <v>45398</v>
      </c>
      <c r="H36">
        <v>0.85091435185185182</v>
      </c>
      <c r="I36">
        <v>45632</v>
      </c>
      <c r="J36" t="str">
        <v>Google Ads</v>
      </c>
      <c r="K36" t="str">
        <v>Lead Gen</v>
      </c>
      <c r="L36" t="str">
        <v>25-34</v>
      </c>
      <c r="M36">
        <v>30550.77</v>
      </c>
      <c r="N36">
        <v>756956.86</v>
      </c>
      <c r="O36">
        <v>816</v>
      </c>
    </row>
    <row r="37" spans="6:15" x14ac:dyDescent="0.3">
      <c r="F37" t="str">
        <v>CMP0005</v>
      </c>
      <c r="G37">
        <v>45392</v>
      </c>
      <c r="H37">
        <v>0.44365740740740739</v>
      </c>
      <c r="I37">
        <v>45809</v>
      </c>
      <c r="J37" t="str">
        <v>Google Ads</v>
      </c>
      <c r="K37" t="str">
        <v>Retargeting</v>
      </c>
      <c r="L37" t="str">
        <v>All</v>
      </c>
      <c r="M37">
        <v>13141.2</v>
      </c>
      <c r="N37">
        <v>729616.78</v>
      </c>
      <c r="O37">
        <v>150</v>
      </c>
    </row>
    <row r="38" spans="6:15" x14ac:dyDescent="0.3">
      <c r="F38" t="str">
        <v>CMP0031</v>
      </c>
      <c r="G38">
        <v>45578</v>
      </c>
      <c r="H38">
        <v>0.33609953703703699</v>
      </c>
      <c r="I38">
        <v>45708</v>
      </c>
      <c r="J38" t="str">
        <v>Instagram</v>
      </c>
      <c r="K38" t="str">
        <v>Retargeting</v>
      </c>
      <c r="L38" t="str">
        <v>All</v>
      </c>
      <c r="M38">
        <v>60040.77</v>
      </c>
      <c r="N38">
        <v>549352.06999999995</v>
      </c>
      <c r="O38">
        <v>397</v>
      </c>
    </row>
    <row r="39" spans="6:15" x14ac:dyDescent="0.3">
      <c r="F39" t="str">
        <v>CMP0013</v>
      </c>
      <c r="G39">
        <v>45528</v>
      </c>
      <c r="H39">
        <v>0.76396990740740744</v>
      </c>
      <c r="I39">
        <v>45670</v>
      </c>
      <c r="J39" t="str">
        <v>Facebook</v>
      </c>
      <c r="K39" t="str">
        <v>Awareness</v>
      </c>
      <c r="L39" t="str">
        <v>25-34</v>
      </c>
      <c r="M39">
        <v>52830.74</v>
      </c>
      <c r="N39">
        <v>546848.63</v>
      </c>
      <c r="O39">
        <v>1788</v>
      </c>
    </row>
    <row r="40" spans="6:15" x14ac:dyDescent="0.3">
      <c r="F40" t="str">
        <v>CMP0059</v>
      </c>
      <c r="G40">
        <v>45606</v>
      </c>
      <c r="H40">
        <v>0.55862268518518521</v>
      </c>
      <c r="I40">
        <v>45903</v>
      </c>
      <c r="J40" t="str">
        <v>LinkedIn</v>
      </c>
      <c r="K40" t="str">
        <v>Awareness</v>
      </c>
      <c r="L40" t="str">
        <v>18-24</v>
      </c>
      <c r="M40">
        <v>13830.21</v>
      </c>
      <c r="N40">
        <v>527404.66</v>
      </c>
      <c r="O40">
        <v>626</v>
      </c>
    </row>
    <row r="41" spans="6:15" x14ac:dyDescent="0.3">
      <c r="F41" t="str">
        <v>CMP0045</v>
      </c>
      <c r="G41">
        <v>45592</v>
      </c>
      <c r="H41">
        <v>0.87385416666666671</v>
      </c>
      <c r="I41">
        <v>45659</v>
      </c>
      <c r="J41" t="str">
        <v>LinkedIn</v>
      </c>
      <c r="K41" t="str">
        <v>Lead Gen</v>
      </c>
      <c r="L41" t="str">
        <v>18-24</v>
      </c>
      <c r="M41">
        <v>12441.03</v>
      </c>
      <c r="N41">
        <v>402150.44</v>
      </c>
      <c r="O41">
        <v>199</v>
      </c>
    </row>
    <row r="42" spans="6:15" x14ac:dyDescent="0.3">
      <c r="F42" t="str">
        <v>CMP0030</v>
      </c>
      <c r="G42">
        <v>45577</v>
      </c>
      <c r="H42">
        <v>0.9827893518518519</v>
      </c>
      <c r="I42">
        <v>45756</v>
      </c>
      <c r="J42" t="str">
        <v>LinkedIn</v>
      </c>
      <c r="K42" t="str">
        <v>Lead Gen</v>
      </c>
      <c r="L42" t="str">
        <v>All</v>
      </c>
      <c r="M42">
        <v>19156.939999999999</v>
      </c>
      <c r="N42">
        <v>394065.43</v>
      </c>
      <c r="O42">
        <v>345</v>
      </c>
    </row>
    <row r="43" spans="6:15" x14ac:dyDescent="0.3">
      <c r="F43" t="str">
        <v>CMP0051</v>
      </c>
      <c r="G43">
        <v>45598</v>
      </c>
      <c r="H43">
        <v>0.53890046296296301</v>
      </c>
      <c r="I43">
        <v>45753</v>
      </c>
      <c r="J43" t="str">
        <v>LinkedIn</v>
      </c>
      <c r="K43" t="str">
        <v>Promotion</v>
      </c>
      <c r="L43" t="str">
        <v>All</v>
      </c>
      <c r="M43">
        <v>22925.06</v>
      </c>
      <c r="N43">
        <v>359223.23</v>
      </c>
      <c r="O43">
        <v>502</v>
      </c>
    </row>
    <row r="44" spans="6:15" x14ac:dyDescent="0.3">
      <c r="F44" t="str">
        <v>CMP0039</v>
      </c>
      <c r="G44">
        <v>45586</v>
      </c>
      <c r="H44">
        <v>0.5552083333333333</v>
      </c>
      <c r="I44">
        <v>45718</v>
      </c>
      <c r="J44" t="str">
        <v>Facebook</v>
      </c>
      <c r="K44" t="str">
        <v>Retargeting</v>
      </c>
      <c r="L44" t="str">
        <v>All</v>
      </c>
      <c r="M44">
        <v>13992.89</v>
      </c>
      <c r="N44">
        <v>351541.56</v>
      </c>
      <c r="O44">
        <v>195</v>
      </c>
    </row>
    <row r="45" spans="6:15" x14ac:dyDescent="0.3">
      <c r="F45" t="str">
        <v>CMP0052</v>
      </c>
      <c r="G45">
        <v>45599</v>
      </c>
      <c r="H45">
        <v>0.80863425925925925</v>
      </c>
      <c r="I45">
        <v>45394</v>
      </c>
      <c r="J45" t="str">
        <v>Google Ads</v>
      </c>
      <c r="K45" t="str">
        <v>Promotion</v>
      </c>
      <c r="L45" t="str">
        <v>35-44</v>
      </c>
      <c r="M45">
        <v>5982.44</v>
      </c>
      <c r="N45">
        <v>349365.2</v>
      </c>
      <c r="O45">
        <v>97</v>
      </c>
    </row>
    <row r="46" spans="6:15" x14ac:dyDescent="0.3">
      <c r="F46" t="str">
        <v>CMP0001</v>
      </c>
      <c r="G46">
        <v>45388</v>
      </c>
      <c r="H46">
        <v>0.60015046296296293</v>
      </c>
      <c r="I46">
        <v>45529</v>
      </c>
      <c r="J46" t="str">
        <v>Google Ads</v>
      </c>
      <c r="K46" t="str">
        <v>Awareness</v>
      </c>
      <c r="L46" t="str">
        <v>All</v>
      </c>
      <c r="M46">
        <v>21794.11</v>
      </c>
      <c r="N46">
        <v>306421.78000000003</v>
      </c>
      <c r="O46">
        <v>905</v>
      </c>
    </row>
    <row r="47" spans="6:15" x14ac:dyDescent="0.3">
      <c r="F47" t="str">
        <v>CMP0054</v>
      </c>
      <c r="G47">
        <v>45601</v>
      </c>
      <c r="H47">
        <v>0.59847222222222218</v>
      </c>
      <c r="I47">
        <v>45949</v>
      </c>
      <c r="J47" t="str">
        <v>Email</v>
      </c>
      <c r="K47" t="str">
        <v>Awareness</v>
      </c>
      <c r="L47" t="str">
        <v>35-44</v>
      </c>
      <c r="M47">
        <v>5917.25</v>
      </c>
      <c r="N47">
        <v>291703.21000000002</v>
      </c>
      <c r="O47">
        <v>210</v>
      </c>
    </row>
    <row r="48" spans="6:15" x14ac:dyDescent="0.3">
      <c r="F48" t="str">
        <v>CMP0029</v>
      </c>
      <c r="G48">
        <v>45576</v>
      </c>
      <c r="H48">
        <v>0.79092592592592592</v>
      </c>
      <c r="I48">
        <v>45576</v>
      </c>
      <c r="J48" t="str">
        <v>LinkedIn</v>
      </c>
      <c r="K48" t="str">
        <v>Lead Gen</v>
      </c>
      <c r="L48" t="str">
        <v>45+</v>
      </c>
      <c r="M48">
        <v>4768.67</v>
      </c>
      <c r="N48">
        <v>282367.93</v>
      </c>
      <c r="O48">
        <v>123</v>
      </c>
    </row>
    <row r="49" spans="6:15" x14ac:dyDescent="0.3">
      <c r="F49" t="str">
        <v>CMP0058</v>
      </c>
      <c r="G49">
        <v>45605</v>
      </c>
      <c r="H49">
        <v>0.50366898148148154</v>
      </c>
      <c r="I49">
        <v>45347</v>
      </c>
      <c r="J49" t="str">
        <v>TikTok</v>
      </c>
      <c r="K49" t="str">
        <v>Lead Gen</v>
      </c>
      <c r="L49" t="str">
        <v>18-24</v>
      </c>
      <c r="M49">
        <v>83834.179999999993</v>
      </c>
      <c r="N49">
        <v>278571.82</v>
      </c>
      <c r="O49">
        <v>1526</v>
      </c>
    </row>
    <row r="50" spans="6:15" x14ac:dyDescent="0.3">
      <c r="F50" t="str">
        <v>CMP0025</v>
      </c>
      <c r="G50">
        <v>45572</v>
      </c>
      <c r="H50">
        <v>0.42728009259259259</v>
      </c>
      <c r="I50">
        <v>45378</v>
      </c>
      <c r="J50" t="str">
        <v>Instagram</v>
      </c>
      <c r="K50" t="str">
        <v>Promotion</v>
      </c>
      <c r="L50" t="str">
        <v>18-24</v>
      </c>
      <c r="M50">
        <v>4200.5600000000004</v>
      </c>
      <c r="N50">
        <v>211401.4</v>
      </c>
      <c r="O50">
        <v>79</v>
      </c>
    </row>
    <row r="51" spans="6:15" x14ac:dyDescent="0.3">
      <c r="F51" t="str">
        <v>CMP0004</v>
      </c>
      <c r="G51">
        <v>45391</v>
      </c>
      <c r="H51">
        <v>0.92804398148148148</v>
      </c>
      <c r="I51">
        <v>45564</v>
      </c>
      <c r="J51" t="str">
        <v>Email</v>
      </c>
      <c r="K51" t="str">
        <v>Lead Gen</v>
      </c>
      <c r="L51" t="str">
        <v>35-44</v>
      </c>
      <c r="M51">
        <v>26788.73</v>
      </c>
      <c r="N51">
        <v>192870.52</v>
      </c>
      <c r="O51">
        <v>311</v>
      </c>
    </row>
    <row r="52" spans="6:15" x14ac:dyDescent="0.3">
      <c r="F52" t="str">
        <v>CMP0055</v>
      </c>
      <c r="G52">
        <v>45602</v>
      </c>
      <c r="H52">
        <v>0.31339120370370371</v>
      </c>
      <c r="I52">
        <v>45627</v>
      </c>
      <c r="J52" t="str">
        <v>TikTok</v>
      </c>
      <c r="K52" t="str">
        <v>Lead Gen</v>
      </c>
      <c r="L52" t="str">
        <v>18-24</v>
      </c>
      <c r="M52">
        <v>5189.57</v>
      </c>
      <c r="N52">
        <v>185561.49</v>
      </c>
      <c r="O52">
        <v>82</v>
      </c>
    </row>
    <row r="53" spans="6:15" x14ac:dyDescent="0.3">
      <c r="F53" t="str">
        <v>CMP0060</v>
      </c>
      <c r="G53">
        <v>45607</v>
      </c>
      <c r="H53">
        <v>0.85230324074074071</v>
      </c>
      <c r="I53">
        <v>45498</v>
      </c>
      <c r="J53" t="str">
        <v>TikTok</v>
      </c>
      <c r="K53" t="str">
        <v>Awareness</v>
      </c>
      <c r="L53" t="str">
        <v>All</v>
      </c>
      <c r="M53">
        <v>33066.18</v>
      </c>
      <c r="N53">
        <v>177365.2</v>
      </c>
      <c r="O53">
        <v>504</v>
      </c>
    </row>
    <row r="54" spans="6:15" x14ac:dyDescent="0.3">
      <c r="F54" t="str">
        <v>CMP0002</v>
      </c>
      <c r="G54">
        <v>45389</v>
      </c>
      <c r="H54">
        <v>0.50320601851851854</v>
      </c>
      <c r="I54">
        <v>45810</v>
      </c>
      <c r="J54" t="str">
        <v>Email</v>
      </c>
      <c r="K54" t="str">
        <v>Awareness</v>
      </c>
      <c r="L54" t="str">
        <v>25-34</v>
      </c>
      <c r="M54">
        <v>4470.93</v>
      </c>
      <c r="N54">
        <v>171646.23</v>
      </c>
      <c r="O54">
        <v>68</v>
      </c>
    </row>
    <row r="55" spans="6:15" x14ac:dyDescent="0.3">
      <c r="F55" t="str">
        <v>CMP0026</v>
      </c>
      <c r="G55">
        <v>45573</v>
      </c>
      <c r="H55">
        <v>0.81412037037037033</v>
      </c>
      <c r="I55">
        <v>45967</v>
      </c>
      <c r="J55" t="str">
        <v>Facebook</v>
      </c>
      <c r="K55" t="str">
        <v>Retargeting</v>
      </c>
      <c r="L55" t="str">
        <v>35-44</v>
      </c>
      <c r="M55">
        <v>26089.51</v>
      </c>
      <c r="N55">
        <v>171535.05</v>
      </c>
      <c r="O55">
        <v>651</v>
      </c>
    </row>
    <row r="56" spans="6:15" x14ac:dyDescent="0.3">
      <c r="F56" t="str">
        <v>CMP0034</v>
      </c>
      <c r="G56">
        <v>45581</v>
      </c>
      <c r="H56">
        <v>0.64656250000000004</v>
      </c>
      <c r="I56">
        <v>45846</v>
      </c>
      <c r="J56" t="str">
        <v>Instagram</v>
      </c>
      <c r="K56" t="str">
        <v>Awareness</v>
      </c>
      <c r="L56" t="str">
        <v>18-24</v>
      </c>
      <c r="M56">
        <v>6169.22</v>
      </c>
      <c r="N56">
        <v>169221.9</v>
      </c>
      <c r="O56">
        <v>69</v>
      </c>
    </row>
    <row r="57" spans="6:15" x14ac:dyDescent="0.3">
      <c r="F57" t="str">
        <v>CMP0032</v>
      </c>
      <c r="G57">
        <v>45579</v>
      </c>
      <c r="H57">
        <v>0.81156249999999996</v>
      </c>
      <c r="I57">
        <v>45502</v>
      </c>
      <c r="J57" t="str">
        <v>LinkedIn</v>
      </c>
      <c r="K57" t="str">
        <v>Awareness</v>
      </c>
      <c r="L57" t="str">
        <v>25-34</v>
      </c>
      <c r="M57">
        <v>14353.84</v>
      </c>
      <c r="N57">
        <v>166250.23000000001</v>
      </c>
      <c r="O57">
        <v>92</v>
      </c>
    </row>
    <row r="58" spans="6:15" x14ac:dyDescent="0.3">
      <c r="F58" t="str">
        <v>CMP0041</v>
      </c>
      <c r="G58">
        <v>45588</v>
      </c>
      <c r="H58">
        <v>0.38241898148148151</v>
      </c>
      <c r="I58">
        <v>45549</v>
      </c>
      <c r="J58" t="str">
        <v>Email</v>
      </c>
      <c r="K58" t="str">
        <v>Lead Gen</v>
      </c>
      <c r="L58" t="str">
        <v>18-24</v>
      </c>
      <c r="M58">
        <v>25190.29</v>
      </c>
      <c r="N58">
        <v>161660.81</v>
      </c>
      <c r="O58">
        <v>669</v>
      </c>
    </row>
    <row r="59" spans="6:15" x14ac:dyDescent="0.3">
      <c r="F59" t="str">
        <v>CMP0010</v>
      </c>
      <c r="G59">
        <v>45397</v>
      </c>
      <c r="H59">
        <v>0.45869212962962957</v>
      </c>
      <c r="I59">
        <v>45894</v>
      </c>
      <c r="J59" t="str">
        <v>Google Ads</v>
      </c>
      <c r="K59" t="str">
        <v>Retargeting</v>
      </c>
      <c r="L59" t="str">
        <v>35-44</v>
      </c>
      <c r="M59">
        <v>50591.05</v>
      </c>
      <c r="N59">
        <v>142663.28</v>
      </c>
      <c r="O59">
        <v>1054</v>
      </c>
    </row>
    <row r="60" spans="6:15" x14ac:dyDescent="0.3">
      <c r="F60" t="str">
        <v>CMP0009</v>
      </c>
      <c r="G60">
        <v>45396</v>
      </c>
      <c r="H60">
        <v>0.8923726851851852</v>
      </c>
      <c r="I60">
        <v>45524</v>
      </c>
      <c r="J60" t="str">
        <v>Google Ads</v>
      </c>
      <c r="K60" t="str">
        <v>Retargeting</v>
      </c>
      <c r="L60" t="str">
        <v>18-24</v>
      </c>
      <c r="M60">
        <v>23880.9</v>
      </c>
      <c r="N60">
        <v>120578.52</v>
      </c>
      <c r="O60">
        <v>1631</v>
      </c>
    </row>
    <row r="61" spans="6:15" x14ac:dyDescent="0.3">
      <c r="F61" t="str">
        <v>CMP0018</v>
      </c>
      <c r="G61">
        <v>45565</v>
      </c>
      <c r="H61">
        <v>0.63637731481481485</v>
      </c>
      <c r="I61">
        <v>45499</v>
      </c>
      <c r="J61" t="str">
        <v>Email</v>
      </c>
      <c r="K61" t="str">
        <v>Lead Gen</v>
      </c>
      <c r="L61" t="str">
        <v>All</v>
      </c>
      <c r="M61">
        <v>5106.6899999999996</v>
      </c>
      <c r="N61">
        <v>120055.31</v>
      </c>
      <c r="O61">
        <v>79</v>
      </c>
    </row>
    <row r="62" spans="6:15" x14ac:dyDescent="0.3">
      <c r="F62" t="str">
        <v>CMP0042</v>
      </c>
      <c r="G62">
        <v>45589</v>
      </c>
      <c r="H62">
        <v>0.46126157407407409</v>
      </c>
      <c r="I62">
        <v>45569</v>
      </c>
      <c r="J62" t="str">
        <v>Instagram</v>
      </c>
      <c r="K62" t="str">
        <v>Promotion</v>
      </c>
      <c r="L62" t="str">
        <v>45+</v>
      </c>
      <c r="M62">
        <v>5463.9</v>
      </c>
      <c r="N62">
        <v>55939.54</v>
      </c>
      <c r="O62">
        <v>243</v>
      </c>
    </row>
    <row r="63" spans="6:15" x14ac:dyDescent="0.3">
      <c r="F63" t="str">
        <v>CMP0017</v>
      </c>
      <c r="G63">
        <v>45564</v>
      </c>
      <c r="H63">
        <v>0.2901273148148148</v>
      </c>
      <c r="I63">
        <v>45635</v>
      </c>
      <c r="J63" t="str">
        <v>Email</v>
      </c>
      <c r="K63" t="str">
        <v>Promotion</v>
      </c>
      <c r="L63" t="str">
        <v>All</v>
      </c>
      <c r="M63">
        <v>7703.73</v>
      </c>
      <c r="N63">
        <v>35249.75</v>
      </c>
      <c r="O63">
        <v>90</v>
      </c>
    </row>
    <row r="64" spans="6:15" x14ac:dyDescent="0.3">
      <c r="F64" t="str">
        <v>CMP0024</v>
      </c>
      <c r="G64">
        <v>45571</v>
      </c>
      <c r="H64">
        <v>0.65346064814814819</v>
      </c>
      <c r="I64">
        <v>45748</v>
      </c>
      <c r="J64" t="str">
        <v>Instagram</v>
      </c>
      <c r="K64" t="str">
        <v>Promotion</v>
      </c>
      <c r="L64" t="str">
        <v>35-44</v>
      </c>
      <c r="M64">
        <v>4714.3500000000004</v>
      </c>
      <c r="N64">
        <v>29283.09</v>
      </c>
      <c r="O64">
        <v>161</v>
      </c>
    </row>
    <row r="65" spans="6:15" x14ac:dyDescent="0.3">
      <c r="F65" t="str">
        <v>CMP0020</v>
      </c>
      <c r="G65">
        <v>45567</v>
      </c>
      <c r="H65">
        <v>0.34998842592592588</v>
      </c>
      <c r="I65">
        <v>45633</v>
      </c>
      <c r="J65" t="str">
        <v>Instagram</v>
      </c>
      <c r="K65" t="str">
        <v>Lead Gen</v>
      </c>
      <c r="L65" t="str">
        <v>All</v>
      </c>
      <c r="M65">
        <v>8456.3700000000008</v>
      </c>
      <c r="N65">
        <v>24109.95</v>
      </c>
      <c r="O65">
        <v>92</v>
      </c>
    </row>
    <row r="66" spans="6:15" x14ac:dyDescent="0.3">
      <c r="F66" t="str">
        <v>CMP0047</v>
      </c>
      <c r="G66">
        <v>45594</v>
      </c>
      <c r="H66">
        <v>0.96684027777777781</v>
      </c>
      <c r="I66">
        <v>45786</v>
      </c>
      <c r="J66" t="str">
        <v>Email</v>
      </c>
      <c r="K66" t="str">
        <v>Promotion</v>
      </c>
      <c r="L66" t="str">
        <v>18-24</v>
      </c>
      <c r="M66">
        <v>8063.43</v>
      </c>
      <c r="N66">
        <v>19334.07</v>
      </c>
      <c r="O66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topLeftCell="A3" zoomScale="111" workbookViewId="0">
      <selection activeCell="B20" sqref="B20:B23"/>
    </sheetView>
  </sheetViews>
  <sheetFormatPr defaultRowHeight="14.4" x14ac:dyDescent="0.3"/>
  <cols>
    <col min="1" max="1" width="24" customWidth="1"/>
    <col min="2" max="2" width="16" customWidth="1"/>
    <col min="3" max="3" width="3" customWidth="1"/>
    <col min="4" max="4" width="18" customWidth="1"/>
    <col min="5" max="8" width="16" customWidth="1"/>
  </cols>
  <sheetData>
    <row r="1" spans="1:8" ht="17.399999999999999" x14ac:dyDescent="0.3">
      <c r="A1" s="1" t="s">
        <v>167</v>
      </c>
    </row>
    <row r="2" spans="1:8" x14ac:dyDescent="0.3">
      <c r="A2" s="20" t="s">
        <v>184</v>
      </c>
    </row>
    <row r="3" spans="1:8" x14ac:dyDescent="0.3">
      <c r="A3" s="20" t="s">
        <v>183</v>
      </c>
    </row>
    <row r="4" spans="1:8" x14ac:dyDescent="0.3">
      <c r="A4" s="20" t="s">
        <v>185</v>
      </c>
    </row>
    <row r="6" spans="1:8" x14ac:dyDescent="0.3">
      <c r="A6" s="2" t="s">
        <v>168</v>
      </c>
      <c r="D6" s="2" t="s">
        <v>169</v>
      </c>
    </row>
    <row r="7" spans="1:8" ht="30" customHeight="1" x14ac:dyDescent="0.3">
      <c r="A7" s="4" t="s">
        <v>31</v>
      </c>
      <c r="B7" s="12" t="s">
        <v>170</v>
      </c>
      <c r="D7" s="4" t="s">
        <v>31</v>
      </c>
      <c r="E7" s="12" t="s">
        <v>38</v>
      </c>
      <c r="F7" s="12" t="s">
        <v>44</v>
      </c>
      <c r="G7" s="12" t="s">
        <v>50</v>
      </c>
      <c r="H7" s="12" t="s">
        <v>48</v>
      </c>
    </row>
    <row r="8" spans="1:8" x14ac:dyDescent="0.3">
      <c r="A8" s="5" t="s">
        <v>41</v>
      </c>
      <c r="B8" s="15">
        <f>SUMIF(Data!$E$37:$E$61,T5_Conditional!A8,Data!$I$37:$I$61)</f>
        <v>472698.09</v>
      </c>
      <c r="D8" s="5" t="s">
        <v>41</v>
      </c>
      <c r="E8" s="15">
        <f>SUMIFS(Data!$H$2:$H$61,Data!$E$2:$E$61,$D8,Data!$F$2:$F$61,E$7)</f>
        <v>10388.18</v>
      </c>
      <c r="F8" s="15">
        <f>SUMIFS(Data!$H$2:$H$61,Data!$E$2:$E$61,$D8,Data!$F$2:$F$61,F$7)</f>
        <v>128614.65</v>
      </c>
      <c r="G8" s="15">
        <f>SUMIFS(Data!$H$2:$H$61,Data!$E$2:$E$61,$D8,Data!$F$2:$F$61,G$7)</f>
        <v>43012.87</v>
      </c>
      <c r="H8" s="15">
        <f>SUMIFS(Data!$H$2:$H$61,Data!$E$2:$E$61,$D8,Data!$F$2:$F$61,H$7)</f>
        <v>27818.61</v>
      </c>
    </row>
    <row r="9" spans="1:8" x14ac:dyDescent="0.3">
      <c r="A9" s="5" t="s">
        <v>59</v>
      </c>
      <c r="B9" s="15">
        <f>SUMIF(Data!$E$37:$E$61,T5_Conditional!A9,Data!$I$37:$I$61)</f>
        <v>10390437.149999999</v>
      </c>
      <c r="D9" s="5" t="s">
        <v>59</v>
      </c>
      <c r="E9" s="15">
        <f>SUMIFS(Data!$H$2:$H$61,Data!$E$2:$E$61,$D9,Data!$F$2:$F$61,E$7)</f>
        <v>177731.45</v>
      </c>
      <c r="F9" s="15">
        <f>SUMIFS(Data!$H$2:$H$61,Data!$E$2:$E$61,$D9,Data!$F$2:$F$61,F$7)</f>
        <v>77462.61</v>
      </c>
      <c r="G9" s="15">
        <f>SUMIFS(Data!$H$2:$H$61,Data!$E$2:$E$61,$D9,Data!$F$2:$F$61,G$7)</f>
        <v>95284.5</v>
      </c>
      <c r="H9" s="15">
        <f>SUMIFS(Data!$H$2:$H$61,Data!$E$2:$E$61,$D9,Data!$F$2:$F$61,H$7)</f>
        <v>256284.51</v>
      </c>
    </row>
    <row r="10" spans="1:8" x14ac:dyDescent="0.3">
      <c r="A10" s="5" t="s">
        <v>37</v>
      </c>
      <c r="B10" s="15">
        <f>SUMIF(Data!$E$37:$E$61,T5_Conditional!A10,Data!$I$37:$I$61)</f>
        <v>4272611.18</v>
      </c>
      <c r="D10" s="5" t="s">
        <v>37</v>
      </c>
      <c r="E10" s="15">
        <f>SUMIFS(Data!$H$2:$H$61,Data!$E$2:$E$61,$D10,Data!$F$2:$F$61,E$7)</f>
        <v>111034.83</v>
      </c>
      <c r="F10" s="15">
        <f>SUMIFS(Data!$H$2:$H$61,Data!$E$2:$E$61,$D10,Data!$F$2:$F$61,F$7)</f>
        <v>118628.29000000001</v>
      </c>
      <c r="G10" s="15">
        <f>SUMIFS(Data!$H$2:$H$61,Data!$E$2:$E$61,$D10,Data!$F$2:$F$61,G$7)</f>
        <v>5982.44</v>
      </c>
      <c r="H10" s="15">
        <f>SUMIFS(Data!$H$2:$H$61,Data!$E$2:$E$61,$D10,Data!$F$2:$F$61,H$7)</f>
        <v>212918.66999999998</v>
      </c>
    </row>
    <row r="11" spans="1:8" x14ac:dyDescent="0.3">
      <c r="A11" s="5" t="s">
        <v>65</v>
      </c>
      <c r="B11" s="15">
        <f>SUMIF(Data!$E$37:$E$61,T5_Conditional!A11,Data!$I$37:$I$61)</f>
        <v>3320670.46</v>
      </c>
      <c r="D11" s="5" t="s">
        <v>65</v>
      </c>
      <c r="E11" s="15">
        <f>SUMIFS(Data!$H$2:$H$61,Data!$E$2:$E$61,$D11,Data!$F$2:$F$61,E$7)</f>
        <v>68376.489999999991</v>
      </c>
      <c r="F11" s="15">
        <f>SUMIFS(Data!$H$2:$H$61,Data!$E$2:$E$61,$D11,Data!$F$2:$F$61,F$7)</f>
        <v>99264.31</v>
      </c>
      <c r="G11" s="15">
        <f>SUMIFS(Data!$H$2:$H$61,Data!$E$2:$E$61,$D11,Data!$F$2:$F$61,G$7)</f>
        <v>14378.81</v>
      </c>
      <c r="H11" s="15">
        <f>SUMIFS(Data!$H$2:$H$61,Data!$E$2:$E$61,$D11,Data!$F$2:$F$61,H$7)</f>
        <v>231605.09</v>
      </c>
    </row>
    <row r="12" spans="1:8" x14ac:dyDescent="0.3">
      <c r="A12" s="5" t="s">
        <v>52</v>
      </c>
      <c r="B12" s="15">
        <f>SUMIF(Data!$E$37:$E$61,T5_Conditional!A12,Data!$I$37:$I$61)</f>
        <v>2213842.75</v>
      </c>
      <c r="D12" s="5" t="s">
        <v>52</v>
      </c>
      <c r="E12" s="15">
        <f>SUMIFS(Data!$H$2:$H$61,Data!$E$2:$E$61,$D12,Data!$F$2:$F$61,E$7)</f>
        <v>48730</v>
      </c>
      <c r="F12" s="15">
        <f>SUMIFS(Data!$H$2:$H$61,Data!$E$2:$E$61,$D12,Data!$F$2:$F$61,F$7)</f>
        <v>90877.16</v>
      </c>
      <c r="G12" s="15">
        <f>SUMIFS(Data!$H$2:$H$61,Data!$E$2:$E$61,$D12,Data!$F$2:$F$61,G$7)</f>
        <v>61268.790000000008</v>
      </c>
      <c r="H12" s="15">
        <f>SUMIFS(Data!$H$2:$H$61,Data!$E$2:$E$61,$D12,Data!$F$2:$F$61,H$7)</f>
        <v>86065.64</v>
      </c>
    </row>
    <row r="13" spans="1:8" x14ac:dyDescent="0.3">
      <c r="A13" s="5" t="s">
        <v>78</v>
      </c>
      <c r="B13" s="15">
        <f>SUMIF(Data!$E$37:$E$61,T5_Conditional!A13,Data!$I$37:$I$61)</f>
        <v>4153884.26</v>
      </c>
      <c r="D13" s="5" t="s">
        <v>78</v>
      </c>
      <c r="E13" s="15">
        <f>SUMIFS(Data!$H$2:$H$61,Data!$E$2:$E$61,$D13,Data!$F$2:$F$61,E$7)</f>
        <v>33066.18</v>
      </c>
      <c r="F13" s="15">
        <f>SUMIFS(Data!$H$2:$H$61,Data!$E$2:$E$61,$D13,Data!$F$2:$F$61,F$7)</f>
        <v>113420.53</v>
      </c>
      <c r="G13" s="15">
        <f>SUMIFS(Data!$H$2:$H$61,Data!$E$2:$E$61,$D13,Data!$F$2:$F$61,G$7)</f>
        <v>104708.08</v>
      </c>
      <c r="H13" s="15">
        <f>SUMIFS(Data!$H$2:$H$61,Data!$E$2:$E$61,$D13,Data!$F$2:$F$61,H$7)</f>
        <v>88000.81</v>
      </c>
    </row>
    <row r="17" spans="1:5" x14ac:dyDescent="0.3">
      <c r="A17" s="2" t="s">
        <v>171</v>
      </c>
      <c r="D17" s="2" t="s">
        <v>172</v>
      </c>
    </row>
    <row r="18" spans="1:5" ht="30" customHeight="1" x14ac:dyDescent="0.3">
      <c r="A18" s="4" t="s">
        <v>33</v>
      </c>
      <c r="B18" s="12" t="s">
        <v>173</v>
      </c>
      <c r="D18" s="4" t="s">
        <v>31</v>
      </c>
      <c r="E18" s="12" t="s">
        <v>174</v>
      </c>
    </row>
    <row r="19" spans="1:5" x14ac:dyDescent="0.3">
      <c r="A19" s="5" t="s">
        <v>55</v>
      </c>
      <c r="B19" s="15" t="str">
        <f ca="1">IFERROR(AVERAGEIFS($I:$I,$G:$G,A5,$B:$B,"&gt;="&amp;DATE(2025,1,1),$B:$B,"&lt;="&amp;DATE(2025,12,31)),"No data")</f>
        <v>No data</v>
      </c>
      <c r="D19" s="5" t="s">
        <v>41</v>
      </c>
      <c r="E19" s="17">
        <f>COUNTIFS(Data!I:I,"&gt;500000",Data!J:J,"&gt;=500")</f>
        <v>27</v>
      </c>
    </row>
    <row r="20" spans="1:5" x14ac:dyDescent="0.3">
      <c r="A20" s="5" t="s">
        <v>42</v>
      </c>
      <c r="B20" s="15" t="str">
        <f ca="1">IFERROR(AVERAGEIFS($I:$I,$G:$G,A5,$B:$B,"&gt;="&amp;DATE(2025,1,1),$B:$B,"&lt;="&amp;DATE(2025,12,31)),"No data")</f>
        <v>No data</v>
      </c>
      <c r="D20" s="5" t="s">
        <v>59</v>
      </c>
      <c r="E20" s="17">
        <f>COUNTIFS(Data!I:I,"&gt;500000",Data!J:J,"&gt;=500")</f>
        <v>27</v>
      </c>
    </row>
    <row r="21" spans="1:5" x14ac:dyDescent="0.3">
      <c r="A21" s="5" t="s">
        <v>45</v>
      </c>
      <c r="B21" s="15" t="str">
        <f t="shared" ref="B21:B23" ca="1" si="0">IFERROR(AVERAGEIFS($I:$I,$G:$G,A6,$B:$B,"&gt;="&amp;DATE(2025,1,1),$B:$B,"&lt;="&amp;DATE(2025,12,31)),"No data")</f>
        <v>No data</v>
      </c>
      <c r="D21" s="5" t="s">
        <v>37</v>
      </c>
      <c r="E21" s="17">
        <f>COUNTIFS(Data!I:I,"&gt;500000",Data!J:J,"&gt;=500")</f>
        <v>27</v>
      </c>
    </row>
    <row r="22" spans="1:5" x14ac:dyDescent="0.3">
      <c r="A22" s="5" t="s">
        <v>63</v>
      </c>
      <c r="B22" s="15" t="str">
        <f t="shared" ca="1" si="0"/>
        <v>No data</v>
      </c>
      <c r="D22" s="5" t="s">
        <v>65</v>
      </c>
      <c r="E22" s="17">
        <f>COUNTIFS(Data!I:I,"&gt;500000",Data!J:J,"&gt;=500")</f>
        <v>27</v>
      </c>
    </row>
    <row r="23" spans="1:5" x14ac:dyDescent="0.3">
      <c r="A23" s="5" t="s">
        <v>39</v>
      </c>
      <c r="B23" s="15" t="str">
        <f t="shared" ca="1" si="0"/>
        <v>No data</v>
      </c>
      <c r="D23" s="5" t="s">
        <v>52</v>
      </c>
      <c r="E23" s="17">
        <f>COUNTIFS(Data!I:I,"&gt;500000",Data!J:J,"&gt;=500")</f>
        <v>27</v>
      </c>
    </row>
    <row r="24" spans="1:5" x14ac:dyDescent="0.3">
      <c r="D24" s="5" t="s">
        <v>78</v>
      </c>
      <c r="E24" s="17">
        <f>COUNTIFS(Data!I:I,"&gt;500000",Data!J:J,"&gt;=500")</f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 | متطلبات التاسك</vt:lpstr>
      <vt:lpstr>Data</vt:lpstr>
      <vt:lpstr>Ref_Tables</vt:lpstr>
      <vt:lpstr>T1_Dates</vt:lpstr>
      <vt:lpstr>T2_Time</vt:lpstr>
      <vt:lpstr>T3_Lookups</vt:lpstr>
      <vt:lpstr>T4_Dynamic</vt:lpstr>
      <vt:lpstr>T5_Conditional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Heba Mohamed</cp:lastModifiedBy>
  <dcterms:created xsi:type="dcterms:W3CDTF">2026-10-09T09:01:27Z</dcterms:created>
  <dcterms:modified xsi:type="dcterms:W3CDTF">2026-10-14T18:40:01Z</dcterms:modified>
</cp:coreProperties>
</file>